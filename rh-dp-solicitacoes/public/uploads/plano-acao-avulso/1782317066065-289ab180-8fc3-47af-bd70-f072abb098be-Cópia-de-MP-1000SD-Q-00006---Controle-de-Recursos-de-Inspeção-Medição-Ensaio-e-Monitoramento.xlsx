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phaela\Downloads\"/>
    </mc:Choice>
  </mc:AlternateContent>
  <xr:revisionPtr revIDLastSave="0" documentId="8_{E4131CC6-E412-47C9-B34B-B48D4158014D}" xr6:coauthVersionLast="47" xr6:coauthVersionMax="47" xr10:uidLastSave="{00000000-0000-0000-0000-000000000000}"/>
  <bookViews>
    <workbookView xWindow="-108" yWindow="-108" windowWidth="23256" windowHeight="12456" tabRatio="552" activeTab="1" xr2:uid="{00000000-000D-0000-FFFF-FFFF00000000}"/>
  </bookViews>
  <sheets>
    <sheet name="F. Rosto" sheetId="3" r:id="rId1"/>
    <sheet name="25SNVI.100.001" sheetId="1" r:id="rId2"/>
  </sheets>
  <definedNames>
    <definedName name="_xlnm._FilterDatabase" localSheetId="1" hidden="1">'25SNVI.100.001'!$B$7:$Q$229</definedName>
    <definedName name="_xlnm.Print_Area" localSheetId="1">'25SNVI.100.001'!$B$2:$Q$229</definedName>
    <definedName name="_xlnm.Print_Area" localSheetId="0">'F. Rosto'!$A$1:$N$33</definedName>
    <definedName name="_xlnm.Print_Titles" localSheetId="1">'25SNVI.100.001'!$2:$7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7" i="1" l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4" i="1"/>
  <c r="L123" i="1"/>
  <c r="L122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4" i="1"/>
  <c r="L63" i="1"/>
  <c r="L62" i="1"/>
  <c r="L61" i="1"/>
  <c r="L60" i="1"/>
  <c r="L59" i="1"/>
  <c r="L58" i="1"/>
  <c r="L57" i="1"/>
  <c r="L51" i="1"/>
  <c r="L50" i="1"/>
  <c r="L49" i="1"/>
  <c r="L48" i="1"/>
  <c r="L47" i="1"/>
  <c r="L44" i="1"/>
  <c r="L38" i="1"/>
  <c r="L37" i="1"/>
  <c r="L33" i="1"/>
  <c r="L32" i="1"/>
  <c r="L30" i="1"/>
  <c r="L27" i="1"/>
  <c r="L26" i="1"/>
  <c r="L25" i="1"/>
  <c r="L24" i="1"/>
  <c r="L23" i="1"/>
  <c r="L21" i="1"/>
  <c r="L20" i="1"/>
  <c r="L19" i="1"/>
  <c r="L18" i="1"/>
  <c r="L17" i="1"/>
  <c r="L16" i="1"/>
  <c r="L14" i="1"/>
  <c r="L9" i="1" l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<sst xmlns="http://schemas.openxmlformats.org/spreadsheetml/2006/main" count="2398" uniqueCount="718">
  <si>
    <t>Nº de Série/ TAG</t>
  </si>
  <si>
    <t>Identificação Interna</t>
  </si>
  <si>
    <t>Marca</t>
  </si>
  <si>
    <t>Modelo</t>
  </si>
  <si>
    <t>Última Aferição</t>
  </si>
  <si>
    <t>Próxima Aferição</t>
  </si>
  <si>
    <t>Status Calibração</t>
  </si>
  <si>
    <t>Nº Certificado</t>
  </si>
  <si>
    <t>Emissor Certificado</t>
  </si>
  <si>
    <t>Desvio Permissível</t>
  </si>
  <si>
    <t>Tipo de Arquivo</t>
  </si>
  <si>
    <t>Observação</t>
  </si>
  <si>
    <t>CONTROLE DE RECURSOS DE INSPEÇÃO, MEDIÇÃO, ENSAIO E MONITORAMENTO</t>
  </si>
  <si>
    <t>Descrição do Equipamento/ Instrumento</t>
  </si>
  <si>
    <t>Responsável/ Localização</t>
  </si>
  <si>
    <t>Área</t>
  </si>
  <si>
    <t>Item</t>
  </si>
  <si>
    <t>Revisão:
0</t>
  </si>
  <si>
    <t>Data 
04/04/2025</t>
  </si>
  <si>
    <t>Código:
FO.SGQ.25SNVI.100</t>
  </si>
  <si>
    <t>SAÚDE OCUPACIONAL</t>
  </si>
  <si>
    <t>N/A</t>
  </si>
  <si>
    <t>DESFIBRILADOR</t>
  </si>
  <si>
    <t>CMOS DRAKE</t>
  </si>
  <si>
    <t>LIFE 400 FUTURA</t>
  </si>
  <si>
    <t>SURGICAL TECNOLOGIA</t>
  </si>
  <si>
    <t>PDF/Físico</t>
  </si>
  <si>
    <t>8169638 / 0510-0345</t>
  </si>
  <si>
    <t>ESFIGMOMANÔMETRO</t>
  </si>
  <si>
    <t>PREMIUM</t>
  </si>
  <si>
    <t>ANEROIDE</t>
  </si>
  <si>
    <t>STAR TECH ENGENHARIA E SOLUÇÕES</t>
  </si>
  <si>
    <t>0510-0233</t>
  </si>
  <si>
    <t>VÁLVULA REGULADORA</t>
  </si>
  <si>
    <t>HAOXI</t>
  </si>
  <si>
    <t>OXIGÊNIO</t>
  </si>
  <si>
    <t>0510-0090 / 0510-0090</t>
  </si>
  <si>
    <t>FLUXÔMETRO</t>
  </si>
  <si>
    <t>0510-0174</t>
  </si>
  <si>
    <t>0510-0047</t>
  </si>
  <si>
    <t>TERMÔMETRO CLÍNICO</t>
  </si>
  <si>
    <t>G-TECH</t>
  </si>
  <si>
    <t>DIGITAL</t>
  </si>
  <si>
    <t>8053087 / 0510-0371</t>
  </si>
  <si>
    <t>0510-0236</t>
  </si>
  <si>
    <t>A109675</t>
  </si>
  <si>
    <t>BAFOMETRO DIGITAL PORTÁTIL</t>
  </si>
  <si>
    <t>JUSTEC</t>
  </si>
  <si>
    <t>ALCOSTOP 2010</t>
  </si>
  <si>
    <t>ENEQUIPA</t>
  </si>
  <si>
    <t>A109633</t>
  </si>
  <si>
    <t>A109629</t>
  </si>
  <si>
    <t>A109616</t>
  </si>
  <si>
    <t>A109582</t>
  </si>
  <si>
    <t>A109537</t>
  </si>
  <si>
    <t>6.0659739522</t>
  </si>
  <si>
    <t>Optotipo de Acuid. Visual Modelo Full HD</t>
  </si>
  <si>
    <t>057554/21 / WE-057554/21</t>
  </si>
  <si>
    <t>ESFIGMOMANÔMETRO DIGITAL</t>
  </si>
  <si>
    <t>INCOTERM</t>
  </si>
  <si>
    <t>CONVENCIONAL</t>
  </si>
  <si>
    <t>WE-0005/25</t>
  </si>
  <si>
    <t>CKALIBRI CALIBRAÇÃO E METROLOGIA</t>
  </si>
  <si>
    <t>074886/21 / 074886/21</t>
  </si>
  <si>
    <t>WE-0006/25</t>
  </si>
  <si>
    <t>WE-0008/25</t>
  </si>
  <si>
    <t xml:space="preserve">462206841 </t>
  </si>
  <si>
    <t>322103596 / WE-322103596</t>
  </si>
  <si>
    <t>WE-0007/25</t>
  </si>
  <si>
    <t xml:space="preserve">4273851 </t>
  </si>
  <si>
    <t>ESFIGMOMANÔMETRO ANERÓIDE ANALÓGICO</t>
  </si>
  <si>
    <t>WE-0004/25</t>
  </si>
  <si>
    <t>BAL-001</t>
  </si>
  <si>
    <t>BALANÇA</t>
  </si>
  <si>
    <t>WELLMIX</t>
  </si>
  <si>
    <t>WE-0001/25</t>
  </si>
  <si>
    <t>BAL-002</t>
  </si>
  <si>
    <t>WE-0002/25</t>
  </si>
  <si>
    <t>WE-BAL-004</t>
  </si>
  <si>
    <t>WE-0003/25</t>
  </si>
  <si>
    <t>22391257 / 0669DOMI-0008</t>
  </si>
  <si>
    <t>ELETROCARDIÓGRAFO</t>
  </si>
  <si>
    <t>CARDIOFIT</t>
  </si>
  <si>
    <t>VENTRIX</t>
  </si>
  <si>
    <t>EDICAL MEDICAL HOSP LTDA</t>
  </si>
  <si>
    <t>VGI52170311 / 0669DOMI-0004</t>
  </si>
  <si>
    <t>ELETROENCEFALÓGRAFO</t>
  </si>
  <si>
    <t>ICELERA</t>
  </si>
  <si>
    <t>IBLUE 52</t>
  </si>
  <si>
    <t>A23-C.14151 / 0669DOMI-0013</t>
  </si>
  <si>
    <t>ESPIRÔMETRO</t>
  </si>
  <si>
    <t>MIR</t>
  </si>
  <si>
    <t>MINISPIR</t>
  </si>
  <si>
    <t>A23-C.17314 / 0669DOMI-0012</t>
  </si>
  <si>
    <t>147 / 0669DOMI-0002</t>
  </si>
  <si>
    <t>ACUIDADE VISUAL</t>
  </si>
  <si>
    <t>AUDIOSONIC</t>
  </si>
  <si>
    <t>AUD-2016</t>
  </si>
  <si>
    <t>OPTOTIPO DE ACUIDADE
VISUAL</t>
  </si>
  <si>
    <t>02365/24</t>
  </si>
  <si>
    <t>0933554 / 0669DOMI-0019</t>
  </si>
  <si>
    <t>AUDIÔMETRO</t>
  </si>
  <si>
    <t>INTERACOUSTICS</t>
  </si>
  <si>
    <t>AD629</t>
  </si>
  <si>
    <t>001459</t>
  </si>
  <si>
    <t>CABINE AUDIOMÉTRICA</t>
  </si>
  <si>
    <t>OTOBEL</t>
  </si>
  <si>
    <t>BEL-110</t>
  </si>
  <si>
    <t>20410558 / 0669DOMI-0007</t>
  </si>
  <si>
    <t>1658179 / 0669DOMI-0001</t>
  </si>
  <si>
    <t>MICROMED</t>
  </si>
  <si>
    <t>WINCARDIO</t>
  </si>
  <si>
    <t>2297992 / 0669DOMI-0011</t>
  </si>
  <si>
    <t>075-013063 / 0669DOMI-0003</t>
  </si>
  <si>
    <t>CARE FUSION</t>
  </si>
  <si>
    <t>SPIROMETRY PC SOFTWARE</t>
  </si>
  <si>
    <t>A23-C18090 / 0669DOMI-0010</t>
  </si>
  <si>
    <t>RAIOS X FIXO</t>
  </si>
  <si>
    <t>RADIOLÓGICA LTDA</t>
  </si>
  <si>
    <t>NÃO CONSTA</t>
  </si>
  <si>
    <t>PROTEG</t>
  </si>
  <si>
    <t>6875/2024</t>
  </si>
  <si>
    <t>N/I</t>
  </si>
  <si>
    <t xml:space="preserve">Eyetest Equipamentos </t>
  </si>
  <si>
    <t>EYETEST EQUIPAMENTOS</t>
  </si>
  <si>
    <t>LABORATÓRIO/CTM</t>
  </si>
  <si>
    <t>BALANÇA INDUSTRIAL</t>
  </si>
  <si>
    <t>URANO</t>
  </si>
  <si>
    <t>TRESCAL</t>
  </si>
  <si>
    <t>CR-23</t>
  </si>
  <si>
    <t>CRONÔMETRO</t>
  </si>
  <si>
    <t>HERWEG</t>
  </si>
  <si>
    <t>5566G025</t>
  </si>
  <si>
    <t>23053844 / PAQ-001</t>
  </si>
  <si>
    <t>PAQUIMETRO</t>
  </si>
  <si>
    <t>DIGIMESS</t>
  </si>
  <si>
    <t>54BF1724</t>
  </si>
  <si>
    <t>PENEIRA</t>
  </si>
  <si>
    <t>A BRONZINOX</t>
  </si>
  <si>
    <t>18,000mm</t>
  </si>
  <si>
    <t>0,150mm (ASTM/TYLER 100)</t>
  </si>
  <si>
    <t>ANALÓGICO</t>
  </si>
  <si>
    <t>0,425mm (TYLER 40)</t>
  </si>
  <si>
    <t>BERTEL</t>
  </si>
  <si>
    <t>SOLOCAP</t>
  </si>
  <si>
    <t>PN-18</t>
  </si>
  <si>
    <t>PAVITEST</t>
  </si>
  <si>
    <t>3/8"</t>
  </si>
  <si>
    <t>N25C0224</t>
  </si>
  <si>
    <t>PRO-031</t>
  </si>
  <si>
    <t>PROVETA GRADUADA</t>
  </si>
  <si>
    <t>NALGON</t>
  </si>
  <si>
    <t>7MFYY625</t>
  </si>
  <si>
    <t>PRO-032</t>
  </si>
  <si>
    <t>F3ZG4W25</t>
  </si>
  <si>
    <t>RELOGIO COMPARADOR</t>
  </si>
  <si>
    <t>KINGTOOLS</t>
  </si>
  <si>
    <t>STARRETT</t>
  </si>
  <si>
    <t>TERMOMETRO BIMETALICO</t>
  </si>
  <si>
    <t>WILLTEC</t>
  </si>
  <si>
    <t>TERMOHIGROMETRO</t>
  </si>
  <si>
    <t>TR-05</t>
  </si>
  <si>
    <t>TRENA</t>
  </si>
  <si>
    <t>FERTAK</t>
  </si>
  <si>
    <t>68M44X24</t>
  </si>
  <si>
    <t>TR-07</t>
  </si>
  <si>
    <t>TR-08</t>
  </si>
  <si>
    <t>1XE66E24</t>
  </si>
  <si>
    <t>TR-015</t>
  </si>
  <si>
    <t>FERTAK TOOLS</t>
  </si>
  <si>
    <t>7W836325</t>
  </si>
  <si>
    <r>
      <rPr>
        <sz val="11"/>
        <color theme="1"/>
        <rFont val="Aptos Narrow"/>
        <family val="2"/>
      </rPr>
      <t>±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2,5%</t>
    </r>
  </si>
  <si>
    <r>
      <rPr>
        <sz val="11"/>
        <color theme="1"/>
        <rFont val="Aptos Narrow"/>
        <family val="2"/>
      </rPr>
      <t>±</t>
    </r>
    <r>
      <rPr>
        <sz val="7.7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1mm/m</t>
    </r>
  </si>
  <si>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>6%</t>
    </r>
  </si>
  <si>
    <t>±0,2mm/m</t>
  </si>
  <si>
    <t xml:space="preserve">Página 
</t>
  </si>
  <si>
    <t>CONSÓRCIO</t>
  </si>
  <si>
    <t>153254</t>
  </si>
  <si>
    <t>NOVOTEST</t>
  </si>
  <si>
    <t>NTC-2
DIGITAL</t>
  </si>
  <si>
    <t>23971/25</t>
  </si>
  <si>
    <t>TECNO CALIBRAÇÃO</t>
  </si>
  <si>
    <t>20 A 99% 
-10 A 50 ºC
-50 a 70ºC</t>
  </si>
  <si>
    <t>153255</t>
  </si>
  <si>
    <t>23972/25</t>
  </si>
  <si>
    <t>153256</t>
  </si>
  <si>
    <t>23973/25</t>
  </si>
  <si>
    <t>4682249</t>
  </si>
  <si>
    <t>TERMOMETRO INFRAVERMELHO</t>
  </si>
  <si>
    <t>MINIPA</t>
  </si>
  <si>
    <t>MT-320B</t>
  </si>
  <si>
    <t>23974/25</t>
  </si>
  <si>
    <t>4682256</t>
  </si>
  <si>
    <t>4682262</t>
  </si>
  <si>
    <t>4682264</t>
  </si>
  <si>
    <t>23975/25</t>
  </si>
  <si>
    <t>23976/25</t>
  </si>
  <si>
    <t>23977/25</t>
  </si>
  <si>
    <t>4506832</t>
  </si>
  <si>
    <t>ALICATE AMPERIMETRO DIGITAL</t>
  </si>
  <si>
    <t>ET-3166B</t>
  </si>
  <si>
    <t>23978/25</t>
  </si>
  <si>
    <t>4506839</t>
  </si>
  <si>
    <t>23979/25</t>
  </si>
  <si>
    <t>JOSÉ DOUGLAS</t>
  </si>
  <si>
    <t>330753</t>
  </si>
  <si>
    <t>ESTAÇÃO TOTAL</t>
  </si>
  <si>
    <t>GEODETIC</t>
  </si>
  <si>
    <t>GD2i-8</t>
  </si>
  <si>
    <t>0709/25</t>
  </si>
  <si>
    <t>CPE TECNOLOGIA</t>
  </si>
  <si>
    <r>
      <t xml:space="preserve">2" 
</t>
    </r>
    <r>
      <rPr>
        <sz val="11"/>
        <color theme="1"/>
        <rFont val="Aptos Narrow"/>
        <family val="2"/>
      </rPr>
      <t>±</t>
    </r>
    <r>
      <rPr>
        <sz val="7.7"/>
        <color theme="1"/>
        <rFont val="Calibri"/>
        <family val="2"/>
      </rPr>
      <t xml:space="preserve"> 2MM + 2ppm x D</t>
    </r>
  </si>
  <si>
    <t>002101</t>
  </si>
  <si>
    <t>TORQUÍMETRO DE ESTALO</t>
  </si>
  <si>
    <t>TG-760</t>
  </si>
  <si>
    <t>25090/25</t>
  </si>
  <si>
    <t>280 a 760 Nm</t>
  </si>
  <si>
    <t>002102</t>
  </si>
  <si>
    <t>25091/25</t>
  </si>
  <si>
    <t>002105</t>
  </si>
  <si>
    <t>25092/25</t>
  </si>
  <si>
    <t>002116</t>
  </si>
  <si>
    <t>25093/25</t>
  </si>
  <si>
    <t>153757</t>
  </si>
  <si>
    <t>ESCALA GRADUADA</t>
  </si>
  <si>
    <t>25094/25</t>
  </si>
  <si>
    <t>0 a 150mm</t>
  </si>
  <si>
    <t>153758</t>
  </si>
  <si>
    <t>25095/25</t>
  </si>
  <si>
    <t>I-2000</t>
  </si>
  <si>
    <t>C302598/25</t>
  </si>
  <si>
    <t>MSMI MEDIÇÃO SOLUÇÕES METROLOGICAS INTEGRADAS</t>
  </si>
  <si>
    <t xml:space="preserve">BAL-002
</t>
  </si>
  <si>
    <t>C302626/25</t>
  </si>
  <si>
    <t xml:space="preserve">BAL-003
</t>
  </si>
  <si>
    <t>C302639/25</t>
  </si>
  <si>
    <t xml:space="preserve">BAL-004
</t>
  </si>
  <si>
    <t>C302664/25</t>
  </si>
  <si>
    <t>BAL-005</t>
  </si>
  <si>
    <t>C302683/25</t>
  </si>
  <si>
    <t>BAL-006</t>
  </si>
  <si>
    <t>C302811/25</t>
  </si>
  <si>
    <t>BAL-012</t>
  </si>
  <si>
    <t>NÃO 
INFORMADO</t>
  </si>
  <si>
    <t>C302818/25</t>
  </si>
  <si>
    <t>BAL-007</t>
  </si>
  <si>
    <t>C302821/25</t>
  </si>
  <si>
    <t>BAL-008</t>
  </si>
  <si>
    <t>C302837/25</t>
  </si>
  <si>
    <t>BAL-009</t>
  </si>
  <si>
    <t>C302858/25</t>
  </si>
  <si>
    <t>BAL-010</t>
  </si>
  <si>
    <t>C302868/25</t>
  </si>
  <si>
    <t>BAL-011</t>
  </si>
  <si>
    <t>C302899/25</t>
  </si>
  <si>
    <t>AQUASOLIS</t>
  </si>
  <si>
    <t>46</t>
  </si>
  <si>
    <t>PRENSA
 HIDRÁULICA</t>
  </si>
  <si>
    <t>ENGETOTUS</t>
  </si>
  <si>
    <t>DIGITAL
ELETRICA</t>
  </si>
  <si>
    <t>PRODUÇÃO</t>
  </si>
  <si>
    <t>127/2025</t>
  </si>
  <si>
    <t>060225</t>
  </si>
  <si>
    <t>MANÔMETRO</t>
  </si>
  <si>
    <t>PRESSGAGE</t>
  </si>
  <si>
    <t>0602/2025</t>
  </si>
  <si>
    <t>METROGERAIS</t>
  </si>
  <si>
    <t>NIV-001</t>
  </si>
  <si>
    <t>NÍVEL DE BOLHA</t>
  </si>
  <si>
    <t>STANLEY</t>
  </si>
  <si>
    <t>42-886S</t>
  </si>
  <si>
    <t>0603/2025</t>
  </si>
  <si>
    <t>PAQ-001</t>
  </si>
  <si>
    <t>PAQUÍMETRO 
(EXTERNO)</t>
  </si>
  <si>
    <t>0604/2025</t>
  </si>
  <si>
    <t>TER-002</t>
  </si>
  <si>
    <t>TS510-20M</t>
  </si>
  <si>
    <t>0605/2025</t>
  </si>
  <si>
    <t>ESQ-001</t>
  </si>
  <si>
    <t>ESQUADRO</t>
  </si>
  <si>
    <t>0606/2025</t>
  </si>
  <si>
    <t>USINA</t>
  </si>
  <si>
    <t>01</t>
  </si>
  <si>
    <t>BALANÇA DE 
AGREGADOS</t>
  </si>
  <si>
    <t>ALFA</t>
  </si>
  <si>
    <t>3103 c</t>
  </si>
  <si>
    <t>02</t>
  </si>
  <si>
    <t>BALANÇA DE 
CIMENTO</t>
  </si>
  <si>
    <t>3101 c</t>
  </si>
  <si>
    <t>UNI-BAL
BALANÇAS LTDA</t>
  </si>
  <si>
    <t>CLASSIFICAÇÃO</t>
  </si>
  <si>
    <t>PROJETO RIO TANQUE
S5011</t>
  </si>
  <si>
    <t>USO INTERNO</t>
  </si>
  <si>
    <t>PROJETO DETALHADO</t>
  </si>
  <si>
    <t>Nº VALE</t>
  </si>
  <si>
    <t>PÁGINA</t>
  </si>
  <si>
    <t>Nº CONSÓRCIO RIO TANQUE</t>
  </si>
  <si>
    <t>REV.</t>
  </si>
  <si>
    <t>MAPA</t>
  </si>
  <si>
    <t>REVISÕES</t>
  </si>
  <si>
    <r>
      <t>TE:</t>
    </r>
    <r>
      <rPr>
        <sz val="7"/>
        <rFont val="Arial"/>
        <family val="2"/>
      </rPr>
      <t xml:space="preserve"> TIPO</t>
    </r>
  </si>
  <si>
    <t>A - PRELIMINAR</t>
  </si>
  <si>
    <t xml:space="preserve">  C - PARA CONHECIMENTO</t>
  </si>
  <si>
    <t xml:space="preserve">   E - PARA CONSTRUÇÃO</t>
  </si>
  <si>
    <t xml:space="preserve">  G - CONFORME CONSTRUÍDO</t>
  </si>
  <si>
    <t>EMISSÃO</t>
  </si>
  <si>
    <t>B - PARA APROVAÇÃO</t>
  </si>
  <si>
    <t xml:space="preserve">  D - PARA COTAÇÃO</t>
  </si>
  <si>
    <t xml:space="preserve">   F - CONFORME COMPRADO</t>
  </si>
  <si>
    <t xml:space="preserve">  H -  CANCELADO</t>
  </si>
  <si>
    <t>Rev.</t>
  </si>
  <si>
    <t>TE</t>
  </si>
  <si>
    <t>Descrição</t>
  </si>
  <si>
    <t>Por</t>
  </si>
  <si>
    <t>Ver.</t>
  </si>
  <si>
    <t>Apr.</t>
  </si>
  <si>
    <t>Aut.</t>
  </si>
  <si>
    <t>Data</t>
  </si>
  <si>
    <t>C</t>
  </si>
  <si>
    <t>PARA CONHECIMENTO</t>
  </si>
  <si>
    <t>GRNG</t>
  </si>
  <si>
    <t>25SNVI.100.001</t>
  </si>
  <si>
    <t>MP-1000SD-Q-00006</t>
  </si>
  <si>
    <t>GERAL MINAS SISTEMA SUDESTE RIO TANQUE</t>
  </si>
  <si>
    <t>MEDIÇÃO, ENSAIO E MONITORAMENTO</t>
  </si>
  <si>
    <t>CONTROLE DE RECURSOS DE INSPEÇÃO,</t>
  </si>
  <si>
    <t>GCP</t>
  </si>
  <si>
    <t>MAM</t>
  </si>
  <si>
    <t>1 de 8</t>
  </si>
  <si>
    <t>BALANÇA DE ÁGUA</t>
  </si>
  <si>
    <t>3101 cs</t>
  </si>
  <si>
    <t>BALANÇA DE ADITIVO</t>
  </si>
  <si>
    <t>03</t>
  </si>
  <si>
    <t>04</t>
  </si>
  <si>
    <t>9788/2025</t>
  </si>
  <si>
    <t>BL-001/23</t>
  </si>
  <si>
    <t>MULTILASER</t>
  </si>
  <si>
    <t>WE-0009/25</t>
  </si>
  <si>
    <t>0 A 180 Kg</t>
  </si>
  <si>
    <t>ACUSTICA MADUCHA</t>
  </si>
  <si>
    <t>2529/2025</t>
  </si>
  <si>
    <t>CTM</t>
  </si>
  <si>
    <t>CBR004</t>
  </si>
  <si>
    <t>FORTEST</t>
  </si>
  <si>
    <t>PATTROL</t>
  </si>
  <si>
    <t>MJS226/25</t>
  </si>
  <si>
    <t>MJS LABORATÓRIO CALIBRAÇÕES E SERVIÇOS</t>
  </si>
  <si>
    <t>PDF</t>
  </si>
  <si>
    <t>100.178BL</t>
  </si>
  <si>
    <t>REL-053
2428447</t>
  </si>
  <si>
    <t>NÃO INFORMADO</t>
  </si>
  <si>
    <t>8405F225</t>
  </si>
  <si>
    <t>530</t>
  </si>
  <si>
    <t>PRENSA DE CONCRETO</t>
  </si>
  <si>
    <t>2TBASE</t>
  </si>
  <si>
    <t>435/2025</t>
  </si>
  <si>
    <t>EMBRACAL</t>
  </si>
  <si>
    <r>
      <rPr>
        <sz val="11"/>
        <color theme="1"/>
        <rFont val="Aptos Narrow"/>
        <family val="2"/>
      </rPr>
      <t>±</t>
    </r>
    <r>
      <rPr>
        <sz val="9.5500000000000007"/>
        <color theme="1"/>
        <rFont val="Calibri"/>
        <family val="2"/>
      </rPr>
      <t>2,5%</t>
    </r>
  </si>
  <si>
    <r>
      <rPr>
        <sz val="11"/>
        <color theme="1"/>
        <rFont val="Aptos Narrow"/>
        <family val="2"/>
      </rPr>
      <t>±</t>
    </r>
    <r>
      <rPr>
        <sz val="9.5500000000000007"/>
        <color theme="1"/>
        <rFont val="Calibri"/>
        <family val="2"/>
      </rPr>
      <t>2°C</t>
    </r>
  </si>
  <si>
    <t>±2°C</t>
  </si>
  <si>
    <t>EC0280</t>
  </si>
  <si>
    <t>23993/25</t>
  </si>
  <si>
    <t>679598
BAL-049</t>
  </si>
  <si>
    <t>WOWL2525</t>
  </si>
  <si>
    <r>
      <rPr>
        <sz val="11"/>
        <color theme="1"/>
        <rFont val="Aptos Narrow"/>
        <family val="2"/>
      </rPr>
      <t>±</t>
    </r>
    <r>
      <rPr>
        <sz val="7.7"/>
        <color theme="1"/>
        <rFont val="Calibri"/>
        <family val="2"/>
      </rPr>
      <t xml:space="preserve">  0,5%</t>
    </r>
  </si>
  <si>
    <t>297447
BAL-010</t>
  </si>
  <si>
    <t>MARTE</t>
  </si>
  <si>
    <t>ZQ36EW25</t>
  </si>
  <si>
    <t>713487
BAL-055</t>
  </si>
  <si>
    <t>SGE23624</t>
  </si>
  <si>
    <t>BAL-113</t>
  </si>
  <si>
    <t>DM598Z25</t>
  </si>
  <si>
    <t>BAL-119</t>
  </si>
  <si>
    <t>OW34M325</t>
  </si>
  <si>
    <t>BAL-122</t>
  </si>
  <si>
    <t>0934ER25</t>
  </si>
  <si>
    <t>27558.20</t>
  </si>
  <si>
    <t>25,00mm 
(ASTM 1")</t>
  </si>
  <si>
    <t>±6%</t>
  </si>
  <si>
    <t>29H1G025</t>
  </si>
  <si>
    <t>WC7P3V25</t>
  </si>
  <si>
    <t>466122
48845</t>
  </si>
  <si>
    <t>50,000mm
(ASTM 2")</t>
  </si>
  <si>
    <t>466137</t>
  </si>
  <si>
    <t>495916</t>
  </si>
  <si>
    <t>0,075mm</t>
  </si>
  <si>
    <t>1QV8B325</t>
  </si>
  <si>
    <t>ECO-0010/23</t>
  </si>
  <si>
    <t>ECO FORMAS</t>
  </si>
  <si>
    <t>V7V8UU25</t>
  </si>
  <si>
    <t>PG-09</t>
  </si>
  <si>
    <t>8RH9PF25</t>
  </si>
  <si>
    <t>9957
REL-015</t>
  </si>
  <si>
    <t>13L40724</t>
  </si>
  <si>
    <t>1049
REL-017</t>
  </si>
  <si>
    <t>I3TC1324</t>
  </si>
  <si>
    <t>397
REL-018</t>
  </si>
  <si>
    <t>2I200224</t>
  </si>
  <si>
    <t>8480
REL-019</t>
  </si>
  <si>
    <t>9LUCN824</t>
  </si>
  <si>
    <t>HJ6H5D24</t>
  </si>
  <si>
    <t>1027
REL-024</t>
  </si>
  <si>
    <t>9993
REL-021</t>
  </si>
  <si>
    <t>XJ0HJ324</t>
  </si>
  <si>
    <t>603967
TER0138</t>
  </si>
  <si>
    <t>049O3V25</t>
  </si>
  <si>
    <t>608036
TER2301</t>
  </si>
  <si>
    <t>H0L28625</t>
  </si>
  <si>
    <t>TH-007</t>
  </si>
  <si>
    <t>EQUITERM</t>
  </si>
  <si>
    <t>9S7F5225</t>
  </si>
  <si>
    <t>±7,5°C</t>
  </si>
  <si>
    <t>TOPOGRAFIA</t>
  </si>
  <si>
    <t>224420</t>
  </si>
  <si>
    <t>0091/25</t>
  </si>
  <si>
    <t>ANGULAR 360° 7"
LINEAR MÉTRICO ± 1 mm/m
BOLHA TUBULAR S1/4 DIV
PRUMO ÓPTICO S 3mm
BOLHA CIRCULAR S 1/2 DIV
PERPENDICULARIDADE S3"</t>
  </si>
  <si>
    <t>296663</t>
  </si>
  <si>
    <t>1361/25</t>
  </si>
  <si>
    <t>324807</t>
  </si>
  <si>
    <t>1362/25</t>
  </si>
  <si>
    <t>223730</t>
  </si>
  <si>
    <t>2041/25</t>
  </si>
  <si>
    <t>246526</t>
  </si>
  <si>
    <t>2049/25</t>
  </si>
  <si>
    <t>325299</t>
  </si>
  <si>
    <t>2079/25</t>
  </si>
  <si>
    <t>335110</t>
  </si>
  <si>
    <t>2084/25</t>
  </si>
  <si>
    <t>240561</t>
  </si>
  <si>
    <t>2111/25</t>
  </si>
  <si>
    <t>141629
TQ-001</t>
  </si>
  <si>
    <t>TORQUÍMETRO ANALÓGICO</t>
  </si>
  <si>
    <t>MTX</t>
  </si>
  <si>
    <t>NAM5366/25</t>
  </si>
  <si>
    <t>NA MANUTENÇÃO E CALIBRAÇÃO</t>
  </si>
  <si>
    <t>±4%</t>
  </si>
  <si>
    <t>PCM</t>
  </si>
  <si>
    <t>227324-23-00121
PCM-7552</t>
  </si>
  <si>
    <t>TORQUÍMETRO DE ESTALO ANALÓGICO</t>
  </si>
  <si>
    <t>TRAMONTINA</t>
  </si>
  <si>
    <t>44508/400</t>
  </si>
  <si>
    <t>PCM-0122/24</t>
  </si>
  <si>
    <t>SAMMOUR</t>
  </si>
  <si>
    <t>LW523832</t>
  </si>
  <si>
    <t>PILE INTEGRITY TESTER (PIT)</t>
  </si>
  <si>
    <t>PIT ACC</t>
  </si>
  <si>
    <t>PILE DYNAMICS, INC</t>
  </si>
  <si>
    <t>5509 CF</t>
  </si>
  <si>
    <t>PIT-Q</t>
  </si>
  <si>
    <t>LOCALIZADAS</t>
  </si>
  <si>
    <t>-</t>
  </si>
  <si>
    <t>WE ENGENHARIA</t>
  </si>
  <si>
    <t>2297992
0669DOMI-0011</t>
  </si>
  <si>
    <t xml:space="preserve">MEDICAL </t>
  </si>
  <si>
    <t>BAL-124</t>
  </si>
  <si>
    <t>MY SCALE</t>
  </si>
  <si>
    <t>1RW8A825</t>
  </si>
  <si>
    <t>BAL-132</t>
  </si>
  <si>
    <t>NC51FM25</t>
  </si>
  <si>
    <t>BAL-134</t>
  </si>
  <si>
    <t>T1DFEV25</t>
  </si>
  <si>
    <t>REL-050</t>
  </si>
  <si>
    <t>ANALOGICO</t>
  </si>
  <si>
    <t>2223LF25</t>
  </si>
  <si>
    <t>REL-052</t>
  </si>
  <si>
    <t>S1082725</t>
  </si>
  <si>
    <t>REL-057</t>
  </si>
  <si>
    <t>60NN0C25</t>
  </si>
  <si>
    <t>REL-058</t>
  </si>
  <si>
    <t>L4TD8C25</t>
  </si>
  <si>
    <t>REL-059</t>
  </si>
  <si>
    <t>E45R0325</t>
  </si>
  <si>
    <t>ANEL DINAMOMÉTRICO</t>
  </si>
  <si>
    <t>LABORATÓRIO</t>
  </si>
  <si>
    <t>466131
48836</t>
  </si>
  <si>
    <t>6,300mm 
(ASTM 1/4")</t>
  </si>
  <si>
    <t>N4501F25</t>
  </si>
  <si>
    <t>PG-0006</t>
  </si>
  <si>
    <t>1/2"</t>
  </si>
  <si>
    <t>I9KEGL25</t>
  </si>
  <si>
    <t>PN-60</t>
  </si>
  <si>
    <t>31,50mm 
(Astm/Tyler 1. 1/4")</t>
  </si>
  <si>
    <t>VY3RIT25</t>
  </si>
  <si>
    <t>PN-66</t>
  </si>
  <si>
    <t>75mm (MOD 3")</t>
  </si>
  <si>
    <t>II695725</t>
  </si>
  <si>
    <t>PG-0017</t>
  </si>
  <si>
    <t>FH67H025</t>
  </si>
  <si>
    <t>PN-82</t>
  </si>
  <si>
    <r>
      <t>212</t>
    </r>
    <r>
      <rPr>
        <sz val="11"/>
        <color theme="1"/>
        <rFont val="Aptos Narrow"/>
        <family val="2"/>
      </rPr>
      <t>µm (MOD. 70 - CAP 65)</t>
    </r>
  </si>
  <si>
    <t>MR4YJ625</t>
  </si>
  <si>
    <t>PN-81</t>
  </si>
  <si>
    <t>106µm (MOD. 140 - CAP 150)</t>
  </si>
  <si>
    <t>RKC3I025</t>
  </si>
  <si>
    <t>PN-70</t>
  </si>
  <si>
    <t>37,5mm (MOD 11/2")</t>
  </si>
  <si>
    <t>2T405N25</t>
  </si>
  <si>
    <t>PEN 2319</t>
  </si>
  <si>
    <t>150µm (ASTM/TYLER 100)</t>
  </si>
  <si>
    <t>5UHEZ325</t>
  </si>
  <si>
    <t>PG0004</t>
  </si>
  <si>
    <t>300µm (MESH 50)</t>
  </si>
  <si>
    <t>2L8T6125</t>
  </si>
  <si>
    <t>PN-71</t>
  </si>
  <si>
    <t>8HU43X25</t>
  </si>
  <si>
    <t>PN-63</t>
  </si>
  <si>
    <t>63mm (MOD 21/2")</t>
  </si>
  <si>
    <t>YLGVB925</t>
  </si>
  <si>
    <t>QUALIDADE</t>
  </si>
  <si>
    <t>CONSÓRCIO RT</t>
  </si>
  <si>
    <t>MN 005</t>
  </si>
  <si>
    <t>G31M3Q25</t>
  </si>
  <si>
    <t>MN 004</t>
  </si>
  <si>
    <t>JGZ78Q25</t>
  </si>
  <si>
    <t>611472
MN 006</t>
  </si>
  <si>
    <t>0UX3G025</t>
  </si>
  <si>
    <t>MN 007</t>
  </si>
  <si>
    <t>855CXX25</t>
  </si>
  <si>
    <t>PAQUÍMETRO DIGITAL</t>
  </si>
  <si>
    <t>DJ5283</t>
  </si>
  <si>
    <t>PAQUÍMETRO</t>
  </si>
  <si>
    <t>100.001A</t>
  </si>
  <si>
    <t>23991/25</t>
  </si>
  <si>
    <t>SOMENTE HISTÓRICO (INSTRUMENTO NÃO ESTÁ SENDO UTILIZADO)</t>
  </si>
  <si>
    <t>813016535</t>
  </si>
  <si>
    <t>VILETECH SOLUÇÕES HOSPITALARES</t>
  </si>
  <si>
    <t>0669DOMI-0013</t>
  </si>
  <si>
    <t>MEDICAL MEDICAL HOSP LTDA</t>
  </si>
  <si>
    <t>0669DOMI-0020</t>
  </si>
  <si>
    <t>0669DOMI-0019</t>
  </si>
  <si>
    <t>CMD</t>
  </si>
  <si>
    <t>9767/2025</t>
  </si>
  <si>
    <t>153253</t>
  </si>
  <si>
    <t>TRENA FITA DE AÇO</t>
  </si>
  <si>
    <t>TS34-5ME</t>
  </si>
  <si>
    <t>23988/25</t>
  </si>
  <si>
    <t>153252</t>
  </si>
  <si>
    <t>23987/25</t>
  </si>
  <si>
    <t>153251</t>
  </si>
  <si>
    <t>23986/25</t>
  </si>
  <si>
    <t>153250</t>
  </si>
  <si>
    <t>23985/25</t>
  </si>
  <si>
    <t>153249</t>
  </si>
  <si>
    <t>23984/25</t>
  </si>
  <si>
    <t>±1mm/m</t>
  </si>
  <si>
    <t>±2%</t>
  </si>
  <si>
    <t>±4% CAPACIDADE TOTAL</t>
  </si>
  <si>
    <t>ELÉTRICA</t>
  </si>
  <si>
    <t>PATRÍCIO</t>
  </si>
  <si>
    <t>4690801</t>
  </si>
  <si>
    <t>ET-3810C</t>
  </si>
  <si>
    <t>36605/25</t>
  </si>
  <si>
    <t>4690806</t>
  </si>
  <si>
    <t>36606/25</t>
  </si>
  <si>
    <t>405088
BAL-01</t>
  </si>
  <si>
    <t>BALANÇA LABORATORIAL</t>
  </si>
  <si>
    <t>AD5000
DIGITAL</t>
  </si>
  <si>
    <t>CLAUDIO SILVA
QUALIDADE</t>
  </si>
  <si>
    <t>TRENA DE AÇO</t>
  </si>
  <si>
    <t>FBG</t>
  </si>
  <si>
    <t>LB 1018/25</t>
  </si>
  <si>
    <t>LABIN</t>
  </si>
  <si>
    <t>CHAYANE MOURA
QUALIDADE</t>
  </si>
  <si>
    <t>LB 1648/25</t>
  </si>
  <si>
    <t>LB 1021/25</t>
  </si>
  <si>
    <t>NATAN FREITAS
QUALIDADE</t>
  </si>
  <si>
    <t>FERNANDO MATOS
QUALIDADE</t>
  </si>
  <si>
    <t>LB 1015/25</t>
  </si>
  <si>
    <t>LB 1047/25</t>
  </si>
  <si>
    <t>MATHEUS RAMOS
QUALIDADE</t>
  </si>
  <si>
    <t>MATHEUS SILVA
QUALIDADE</t>
  </si>
  <si>
    <t>LB 1005/25</t>
  </si>
  <si>
    <t>NEFTALI TOTO
QUALIDADE</t>
  </si>
  <si>
    <t>LB 1001/25</t>
  </si>
  <si>
    <t>NILSON JUNIOR
LABORATÓRIO</t>
  </si>
  <si>
    <t>EDESIO
CTM</t>
  </si>
  <si>
    <t>VANDERLEI
LABORATÓRIO</t>
  </si>
  <si>
    <t>LB 1036/25</t>
  </si>
  <si>
    <t>ARIAN LABORATÓRIO</t>
  </si>
  <si>
    <t>LB 1647/25</t>
  </si>
  <si>
    <t>LB 1003/25</t>
  </si>
  <si>
    <t>LB 1009/25</t>
  </si>
  <si>
    <t>LB 1008/25</t>
  </si>
  <si>
    <t>LB 1043/25</t>
  </si>
  <si>
    <t>LB 1042/25</t>
  </si>
  <si>
    <t>LB 1649/25</t>
  </si>
  <si>
    <t>VERIFICAÇÃO TRIMESTRAL OU A CADA 5000m3</t>
  </si>
  <si>
    <t>CESBE</t>
  </si>
  <si>
    <t>MODELO FULL HD</t>
  </si>
  <si>
    <t>A15941/25</t>
  </si>
  <si>
    <t>8.0659739522</t>
  </si>
  <si>
    <t xml:space="preserve">COMPÍMETRO MANUAL PORTÁTIL </t>
  </si>
  <si>
    <t>PORTÁTIL ACOPLAVEL</t>
  </si>
  <si>
    <t>JESUS DA SILVA ROSA
PRODUÇÃO</t>
  </si>
  <si>
    <t>H24227139</t>
  </si>
  <si>
    <t>TERMO-LUXÍMETRO DIGITAL</t>
  </si>
  <si>
    <t>AKROM</t>
  </si>
  <si>
    <t>KR922</t>
  </si>
  <si>
    <t>123/2026</t>
  </si>
  <si>
    <t>AKROM PRODUTOS ELETRÔNICOS</t>
  </si>
  <si>
    <t>SUBSTITUÍDO</t>
  </si>
  <si>
    <t>0510-0142</t>
  </si>
  <si>
    <t>0510-0467</t>
  </si>
  <si>
    <t>0510-0605</t>
  </si>
  <si>
    <t>0510-0210</t>
  </si>
  <si>
    <t>IFAB</t>
  </si>
  <si>
    <t>0510/0263</t>
  </si>
  <si>
    <t>0510-0751</t>
  </si>
  <si>
    <t>PRESERVAÇÃO</t>
  </si>
  <si>
    <t>MARCELO JESUS</t>
  </si>
  <si>
    <t>IN0441/2025</t>
  </si>
  <si>
    <t>MEGÔHMETRO DIGITAL 5KV</t>
  </si>
  <si>
    <t>INBRAT</t>
  </si>
  <si>
    <t>INMG-5 DIGITAL</t>
  </si>
  <si>
    <t>0503/26</t>
  </si>
  <si>
    <t>1506</t>
  </si>
  <si>
    <t>MÁQUINA DE ENSAIO DE COMPRESSÃO MANUAL DIGITAL</t>
  </si>
  <si>
    <t>SOLOTEST</t>
  </si>
  <si>
    <t>85223-26</t>
  </si>
  <si>
    <t>AQUASOLIS/PUMA</t>
  </si>
  <si>
    <t>2274/2026</t>
  </si>
  <si>
    <t>FLC BALANÇAS</t>
  </si>
  <si>
    <t>107AFD</t>
  </si>
  <si>
    <t>BALANÇA DE AGREGADOS</t>
  </si>
  <si>
    <t>3103CS</t>
  </si>
  <si>
    <t>2269/2026</t>
  </si>
  <si>
    <t>108D37</t>
  </si>
  <si>
    <t>3107CS</t>
  </si>
  <si>
    <t>2271/2026</t>
  </si>
  <si>
    <t>10E81F</t>
  </si>
  <si>
    <t>BALANÇA DE CIMENTO</t>
  </si>
  <si>
    <t>2272/2026</t>
  </si>
  <si>
    <t>13031033</t>
  </si>
  <si>
    <t>BALANÇA LABORATÓRIO</t>
  </si>
  <si>
    <t>PRIX</t>
  </si>
  <si>
    <t>9094C</t>
  </si>
  <si>
    <t>2276/2026</t>
  </si>
  <si>
    <t>B132192531</t>
  </si>
  <si>
    <t>OHAUS</t>
  </si>
  <si>
    <t>AV 3102CP</t>
  </si>
  <si>
    <t>2275/2026</t>
  </si>
  <si>
    <t>2306039</t>
  </si>
  <si>
    <t>BALANÇA QUALIDADE</t>
  </si>
  <si>
    <t>GRANE SCALE</t>
  </si>
  <si>
    <t>OCS10T</t>
  </si>
  <si>
    <t>2268/2026</t>
  </si>
  <si>
    <t>MEIO AMBIENTE</t>
  </si>
  <si>
    <t>DIOGO CARVALHO</t>
  </si>
  <si>
    <t>L25AK0000014</t>
  </si>
  <si>
    <t>HIDRÔMETRO AXIAL</t>
  </si>
  <si>
    <t>AKVOMETER</t>
  </si>
  <si>
    <t>07943/25A</t>
  </si>
  <si>
    <t>HIDROMETER</t>
  </si>
  <si>
    <t>5007360</t>
  </si>
  <si>
    <t>TURBIDÍMETRO DIGITAL</t>
  </si>
  <si>
    <t>AKSO</t>
  </si>
  <si>
    <t>TU430 DIGITAL</t>
  </si>
  <si>
    <t>8762/25</t>
  </si>
  <si>
    <t>FORMIS</t>
  </si>
  <si>
    <t>0510-0548</t>
  </si>
  <si>
    <t>TERMÔMETRO</t>
  </si>
  <si>
    <t>G.TECH</t>
  </si>
  <si>
    <t>DIGITAL TH1027</t>
  </si>
  <si>
    <t>812084464</t>
  </si>
  <si>
    <t>ATLASTECH</t>
  </si>
  <si>
    <t>A110200</t>
  </si>
  <si>
    <t>BAFÔMETRO DIGITAL PORTÁTIL</t>
  </si>
  <si>
    <t>OK</t>
  </si>
  <si>
    <t>A110189</t>
  </si>
  <si>
    <t>A110170</t>
  </si>
  <si>
    <t>A110175</t>
  </si>
  <si>
    <t>314253</t>
  </si>
  <si>
    <t>LC-20 DIGITAL</t>
  </si>
  <si>
    <t>BALANÇAS PRECISA</t>
  </si>
  <si>
    <t>PIC-084</t>
  </si>
  <si>
    <t>PICNOMETRO</t>
  </si>
  <si>
    <t>DIOGOLAB</t>
  </si>
  <si>
    <t>HB8P7Q24</t>
  </si>
  <si>
    <t>PIC-020</t>
  </si>
  <si>
    <t>9XY0FN25</t>
  </si>
  <si>
    <t>BAL-015</t>
  </si>
  <si>
    <t>SHIMADZU</t>
  </si>
  <si>
    <t>UX6200H</t>
  </si>
  <si>
    <t>CIT</t>
  </si>
  <si>
    <t>466126</t>
  </si>
  <si>
    <t>8YW5ML26</t>
  </si>
  <si>
    <t>466135</t>
  </si>
  <si>
    <t>FHM78526</t>
  </si>
  <si>
    <t>466139</t>
  </si>
  <si>
    <t>S29IIS26</t>
  </si>
  <si>
    <t>37EY0626</t>
  </si>
  <si>
    <t>810SK326</t>
  </si>
  <si>
    <t>REL-074
2503285</t>
  </si>
  <si>
    <t>P9K4W225</t>
  </si>
  <si>
    <t>REL-075
2528458</t>
  </si>
  <si>
    <t>J89WG725</t>
  </si>
  <si>
    <t>REL-076</t>
  </si>
  <si>
    <t>3552JM25</t>
  </si>
  <si>
    <t>REL-077</t>
  </si>
  <si>
    <t>T35N6A25</t>
  </si>
  <si>
    <t>REL-078
2517111</t>
  </si>
  <si>
    <t>0Y881S25</t>
  </si>
  <si>
    <t>REL-079
2581392</t>
  </si>
  <si>
    <t>183TF825</t>
  </si>
  <si>
    <t>REL-080
25818916</t>
  </si>
  <si>
    <t>20P9TV25</t>
  </si>
  <si>
    <t>REL-083</t>
  </si>
  <si>
    <t>PR029T25</t>
  </si>
  <si>
    <t>REL-087
2581206</t>
  </si>
  <si>
    <t>I4408025</t>
  </si>
  <si>
    <t>TD-026</t>
  </si>
  <si>
    <t>TERMOMETRO DIGITAL COM OUTROS SENSORES</t>
  </si>
  <si>
    <t>DIGITAL
TP101</t>
  </si>
  <si>
    <t>79CY6526</t>
  </si>
  <si>
    <t>TD-027</t>
  </si>
  <si>
    <t>820J0226</t>
  </si>
  <si>
    <t>PRÓXIMO DA DATA DE VENCIMENTO</t>
  </si>
  <si>
    <t>ENVIAR PARA NOVA CALIBRAÇÃO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</si>
</sst>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&quot;Rev.:&quot;\ 00"/>
    <numFmt numFmtId="166" formatCode="dd/mm/yy;@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7.7"/>
      <color theme="1"/>
      <name val="Calibri"/>
      <family val="2"/>
    </font>
    <font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9.5500000000000007"/>
      <color theme="1"/>
      <name val="Calibri"/>
      <family val="2"/>
    </font>
    <font>
      <sz val="5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</cellStyleXfs>
  <cellXfs count="176">
    <xf numFmtId="0" fontId="0" fillId="0" borderId="0" xfId="0"/>
    <xf numFmtId="0" fontId="0" fillId="2" borderId="0" xfId="0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quotePrefix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7" fillId="0" borderId="18" xfId="3" applyFont="1" applyBorder="1" applyAlignment="1">
      <alignment vertical="center" wrapText="1"/>
    </xf>
    <xf numFmtId="0" fontId="7" fillId="0" borderId="21" xfId="3" applyFont="1" applyBorder="1" applyAlignment="1">
      <alignment vertical="center" wrapText="1"/>
    </xf>
    <xf numFmtId="0" fontId="11" fillId="0" borderId="0" xfId="3"/>
    <xf numFmtId="0" fontId="7" fillId="0" borderId="22" xfId="3" applyFont="1" applyBorder="1" applyAlignment="1">
      <alignment vertical="center" wrapText="1"/>
    </xf>
    <xf numFmtId="0" fontId="7" fillId="0" borderId="23" xfId="3" applyFont="1" applyBorder="1" applyAlignment="1">
      <alignment vertical="center" wrapText="1"/>
    </xf>
    <xf numFmtId="0" fontId="13" fillId="0" borderId="25" xfId="3" applyFont="1" applyBorder="1" applyAlignment="1">
      <alignment horizontal="center" vertical="top"/>
    </xf>
    <xf numFmtId="0" fontId="16" fillId="0" borderId="18" xfId="3" applyFont="1" applyBorder="1" applyAlignment="1">
      <alignment horizontal="left" vertical="center"/>
    </xf>
    <xf numFmtId="0" fontId="11" fillId="0" borderId="21" xfId="3" applyBorder="1"/>
    <xf numFmtId="0" fontId="17" fillId="0" borderId="21" xfId="3" applyFont="1" applyBorder="1" applyAlignment="1">
      <alignment horizontal="left" vertical="center"/>
    </xf>
    <xf numFmtId="0" fontId="17" fillId="0" borderId="21" xfId="3" applyFont="1" applyBorder="1" applyAlignment="1">
      <alignment horizontal="center" vertical="center"/>
    </xf>
    <xf numFmtId="0" fontId="17" fillId="0" borderId="19" xfId="3" applyFont="1" applyBorder="1" applyAlignment="1">
      <alignment horizontal="center" vertical="center"/>
    </xf>
    <xf numFmtId="0" fontId="17" fillId="0" borderId="22" xfId="3" applyFont="1" applyBorder="1" applyAlignment="1">
      <alignment horizontal="left" vertical="top"/>
    </xf>
    <xf numFmtId="0" fontId="11" fillId="0" borderId="23" xfId="3" applyBorder="1" applyAlignment="1">
      <alignment vertical="top"/>
    </xf>
    <xf numFmtId="0" fontId="17" fillId="0" borderId="23" xfId="3" applyFont="1" applyBorder="1" applyAlignment="1">
      <alignment horizontal="left" vertical="top"/>
    </xf>
    <xf numFmtId="0" fontId="17" fillId="0" borderId="23" xfId="3" applyFont="1" applyBorder="1" applyAlignment="1">
      <alignment horizontal="center" vertical="top"/>
    </xf>
    <xf numFmtId="0" fontId="17" fillId="0" borderId="24" xfId="3" applyFont="1" applyBorder="1" applyAlignment="1">
      <alignment horizontal="center" vertical="top"/>
    </xf>
    <xf numFmtId="0" fontId="7" fillId="0" borderId="1" xfId="3" applyFont="1" applyBorder="1" applyAlignment="1">
      <alignment horizontal="center" vertical="center"/>
    </xf>
    <xf numFmtId="0" fontId="18" fillId="0" borderId="1" xfId="3" applyFont="1" applyBorder="1" applyAlignment="1" applyProtection="1">
      <alignment horizontal="center" vertical="center"/>
      <protection locked="0"/>
    </xf>
    <xf numFmtId="0" fontId="18" fillId="0" borderId="1" xfId="3" quotePrefix="1" applyFont="1" applyBorder="1" applyAlignment="1" applyProtection="1">
      <alignment horizontal="center" vertical="center"/>
      <protection locked="0"/>
    </xf>
    <xf numFmtId="166" fontId="18" fillId="0" borderId="1" xfId="3" applyNumberFormat="1" applyFont="1" applyBorder="1" applyAlignment="1" applyProtection="1">
      <alignment horizontal="center" vertical="center"/>
      <protection locked="0"/>
    </xf>
    <xf numFmtId="0" fontId="19" fillId="0" borderId="1" xfId="3" applyFont="1" applyBorder="1" applyAlignment="1" applyProtection="1">
      <alignment horizontal="center" vertical="center"/>
      <protection locked="0"/>
    </xf>
    <xf numFmtId="0" fontId="19" fillId="0" borderId="1" xfId="3" quotePrefix="1" applyFont="1" applyBorder="1" applyAlignment="1" applyProtection="1">
      <alignment horizontal="center" vertical="center"/>
      <protection locked="0"/>
    </xf>
    <xf numFmtId="166" fontId="19" fillId="0" borderId="1" xfId="3" applyNumberFormat="1" applyFont="1" applyBorder="1" applyAlignment="1" applyProtection="1">
      <alignment horizontal="center" vertical="center"/>
      <protection locked="0"/>
    </xf>
    <xf numFmtId="0" fontId="19" fillId="0" borderId="1" xfId="3" applyFont="1" applyBorder="1" applyAlignment="1" applyProtection="1">
      <alignment horizontal="center" vertical="center" wrapText="1"/>
      <protection locked="0"/>
    </xf>
    <xf numFmtId="0" fontId="18" fillId="0" borderId="1" xfId="3" applyFont="1" applyBorder="1" applyAlignment="1" applyProtection="1">
      <alignment horizontal="justify" vertical="center" wrapText="1"/>
      <protection locked="0"/>
    </xf>
    <xf numFmtId="0" fontId="11" fillId="0" borderId="0" xfId="3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 wrapText="1"/>
    </xf>
    <xf numFmtId="2" fontId="6" fillId="2" borderId="7" xfId="0" applyNumberFormat="1" applyFont="1" applyFill="1" applyBorder="1" applyAlignment="1">
      <alignment horizontal="center" vertical="center" wrapText="1"/>
    </xf>
    <xf numFmtId="2" fontId="6" fillId="2" borderId="8" xfId="0" applyNumberFormat="1" applyFont="1" applyFill="1" applyBorder="1" applyAlignment="1">
      <alignment horizontal="center" vertical="center" wrapText="1"/>
    </xf>
    <xf numFmtId="2" fontId="6" fillId="2" borderId="2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2" fontId="6" fillId="2" borderId="3" xfId="0" applyNumberFormat="1" applyFont="1" applyFill="1" applyBorder="1" applyAlignment="1">
      <alignment horizontal="center" vertical="center" wrapText="1"/>
    </xf>
    <xf numFmtId="2" fontId="6" fillId="2" borderId="14" xfId="0" applyNumberFormat="1" applyFont="1" applyFill="1" applyBorder="1" applyAlignment="1">
      <alignment horizontal="center" vertical="center" wrapText="1"/>
    </xf>
    <xf numFmtId="2" fontId="6" fillId="2" borderId="15" xfId="0" applyNumberFormat="1" applyFont="1" applyFill="1" applyBorder="1" applyAlignment="1">
      <alignment horizontal="center" vertical="center" wrapText="1"/>
    </xf>
    <xf numFmtId="2" fontId="6" fillId="2" borderId="1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5" fontId="0" fillId="2" borderId="18" xfId="0" applyNumberFormat="1" applyFill="1" applyBorder="1" applyAlignment="1">
      <alignment horizontal="center" vertical="center" wrapText="1"/>
    </xf>
    <xf numFmtId="165" fontId="0" fillId="2" borderId="19" xfId="0" applyNumberFormat="1" applyFill="1" applyBorder="1" applyAlignment="1">
      <alignment horizontal="center" vertical="center" wrapText="1"/>
    </xf>
    <xf numFmtId="165" fontId="0" fillId="2" borderId="14" xfId="0" applyNumberFormat="1" applyFill="1" applyBorder="1" applyAlignment="1">
      <alignment horizontal="center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 vertical="center" wrapText="1"/>
    </xf>
    <xf numFmtId="165" fontId="0" fillId="2" borderId="20" xfId="0" applyNumberFormat="1" applyFill="1" applyBorder="1" applyAlignment="1">
      <alignment horizontal="center" vertical="center" wrapText="1"/>
    </xf>
    <xf numFmtId="165" fontId="0" fillId="2" borderId="17" xfId="0" applyNumberFormat="1" applyFill="1" applyBorder="1" applyAlignment="1">
      <alignment horizontal="center" vertical="center" wrapText="1"/>
    </xf>
    <xf numFmtId="0" fontId="18" fillId="0" borderId="1" xfId="3" applyFont="1" applyBorder="1" applyAlignment="1" applyProtection="1">
      <alignment horizontal="left" vertical="center" wrapText="1"/>
      <protection locked="0"/>
    </xf>
    <xf numFmtId="0" fontId="18" fillId="0" borderId="29" xfId="3" applyFont="1" applyBorder="1" applyAlignment="1" applyProtection="1">
      <alignment horizontal="left" vertical="center" wrapText="1"/>
      <protection locked="0"/>
    </xf>
    <xf numFmtId="0" fontId="18" fillId="0" borderId="28" xfId="3" applyFont="1" applyBorder="1" applyAlignment="1" applyProtection="1">
      <alignment horizontal="left" vertical="center" wrapText="1"/>
      <protection locked="0"/>
    </xf>
    <xf numFmtId="0" fontId="18" fillId="0" borderId="30" xfId="3" applyFont="1" applyBorder="1" applyAlignment="1" applyProtection="1">
      <alignment horizontal="left" vertical="center" wrapText="1"/>
      <protection locked="0"/>
    </xf>
    <xf numFmtId="0" fontId="19" fillId="0" borderId="29" xfId="3" applyFont="1" applyBorder="1" applyAlignment="1" applyProtection="1">
      <alignment horizontal="left" vertical="center" wrapText="1"/>
      <protection locked="0"/>
    </xf>
    <xf numFmtId="0" fontId="19" fillId="0" borderId="28" xfId="3" applyFont="1" applyBorder="1" applyAlignment="1" applyProtection="1">
      <alignment horizontal="left" vertical="center" wrapText="1"/>
      <protection locked="0"/>
    </xf>
    <xf numFmtId="0" fontId="19" fillId="0" borderId="30" xfId="3" applyFont="1" applyBorder="1" applyAlignment="1" applyProtection="1">
      <alignment horizontal="left" vertical="center" wrapText="1"/>
      <protection locked="0"/>
    </xf>
    <xf numFmtId="0" fontId="19" fillId="0" borderId="1" xfId="3" applyFont="1" applyBorder="1" applyAlignment="1" applyProtection="1">
      <alignment horizontal="left" vertical="center" wrapText="1"/>
      <protection locked="0"/>
    </xf>
    <xf numFmtId="0" fontId="7" fillId="0" borderId="2" xfId="3" applyFont="1" applyBorder="1" applyAlignment="1" applyProtection="1">
      <alignment horizontal="left" vertical="center"/>
      <protection locked="0"/>
    </xf>
    <xf numFmtId="0" fontId="7" fillId="0" borderId="0" xfId="3" applyFont="1" applyAlignment="1" applyProtection="1">
      <alignment horizontal="left" vertical="center"/>
      <protection locked="0"/>
    </xf>
    <xf numFmtId="0" fontId="7" fillId="0" borderId="3" xfId="3" applyFont="1" applyBorder="1" applyAlignment="1" applyProtection="1">
      <alignment horizontal="left" vertical="center"/>
      <protection locked="0"/>
    </xf>
    <xf numFmtId="1" fontId="7" fillId="0" borderId="2" xfId="3" applyNumberFormat="1" applyFont="1" applyBorder="1" applyAlignment="1" applyProtection="1">
      <alignment horizontal="center" vertical="center"/>
      <protection locked="0"/>
    </xf>
    <xf numFmtId="1" fontId="7" fillId="0" borderId="0" xfId="3" applyNumberFormat="1" applyFont="1" applyAlignment="1" applyProtection="1">
      <alignment horizontal="center" vertical="center"/>
      <protection locked="0"/>
    </xf>
    <xf numFmtId="1" fontId="7" fillId="0" borderId="3" xfId="3" applyNumberFormat="1" applyFont="1" applyBorder="1" applyAlignment="1" applyProtection="1">
      <alignment horizontal="center" vertical="center"/>
      <protection locked="0"/>
    </xf>
    <xf numFmtId="1" fontId="7" fillId="0" borderId="22" xfId="3" applyNumberFormat="1" applyFont="1" applyBorder="1" applyAlignment="1" applyProtection="1">
      <alignment horizontal="center" vertical="center"/>
      <protection locked="0"/>
    </xf>
    <xf numFmtId="1" fontId="7" fillId="0" borderId="23" xfId="3" applyNumberFormat="1" applyFont="1" applyBorder="1" applyAlignment="1" applyProtection="1">
      <alignment horizontal="center" vertical="center"/>
      <protection locked="0"/>
    </xf>
    <xf numFmtId="1" fontId="7" fillId="0" borderId="24" xfId="3" applyNumberFormat="1" applyFont="1" applyBorder="1" applyAlignment="1" applyProtection="1">
      <alignment horizontal="center" vertical="center"/>
      <protection locked="0"/>
    </xf>
    <xf numFmtId="49" fontId="7" fillId="0" borderId="26" xfId="3" applyNumberFormat="1" applyFont="1" applyBorder="1" applyAlignment="1" applyProtection="1">
      <alignment horizontal="center" vertical="top"/>
      <protection locked="0"/>
    </xf>
    <xf numFmtId="49" fontId="7" fillId="0" borderId="27" xfId="3" applyNumberFormat="1" applyFont="1" applyBorder="1" applyAlignment="1" applyProtection="1">
      <alignment horizontal="center" vertical="top"/>
      <protection locked="0"/>
    </xf>
    <xf numFmtId="0" fontId="13" fillId="0" borderId="18" xfId="3" applyFont="1" applyBorder="1" applyAlignment="1">
      <alignment horizontal="left" vertical="top"/>
    </xf>
    <xf numFmtId="0" fontId="13" fillId="0" borderId="21" xfId="3" applyFont="1" applyBorder="1" applyAlignment="1">
      <alignment horizontal="left" vertical="top"/>
    </xf>
    <xf numFmtId="0" fontId="13" fillId="0" borderId="19" xfId="3" applyFont="1" applyBorder="1" applyAlignment="1">
      <alignment horizontal="left" vertical="top"/>
    </xf>
    <xf numFmtId="0" fontId="13" fillId="0" borderId="2" xfId="3" applyFont="1" applyBorder="1" applyAlignment="1">
      <alignment horizontal="left" vertical="top"/>
    </xf>
    <xf numFmtId="0" fontId="13" fillId="0" borderId="0" xfId="3" applyFont="1" applyAlignment="1">
      <alignment horizontal="left" vertical="top"/>
    </xf>
    <xf numFmtId="0" fontId="13" fillId="0" borderId="3" xfId="3" applyFont="1" applyBorder="1" applyAlignment="1">
      <alignment horizontal="left" vertical="top"/>
    </xf>
    <xf numFmtId="0" fontId="13" fillId="0" borderId="25" xfId="3" applyFont="1" applyBorder="1" applyAlignment="1">
      <alignment horizontal="center" vertical="top"/>
    </xf>
    <xf numFmtId="0" fontId="13" fillId="0" borderId="26" xfId="3" applyFont="1" applyBorder="1" applyAlignment="1">
      <alignment horizontal="center" vertical="top"/>
    </xf>
    <xf numFmtId="0" fontId="7" fillId="0" borderId="2" xfId="3" applyFont="1" applyBorder="1" applyAlignment="1" applyProtection="1">
      <alignment horizontal="center" vertical="center"/>
      <protection locked="0"/>
    </xf>
    <xf numFmtId="0" fontId="7" fillId="0" borderId="0" xfId="3" applyFont="1" applyAlignment="1" applyProtection="1">
      <alignment horizontal="center" vertical="center"/>
      <protection locked="0"/>
    </xf>
    <xf numFmtId="0" fontId="7" fillId="0" borderId="3" xfId="3" applyFont="1" applyBorder="1" applyAlignment="1" applyProtection="1">
      <alignment horizontal="center" vertical="center"/>
      <protection locked="0"/>
    </xf>
    <xf numFmtId="0" fontId="7" fillId="0" borderId="22" xfId="3" applyFont="1" applyBorder="1" applyAlignment="1" applyProtection="1">
      <alignment horizontal="center" vertical="center"/>
      <protection locked="0"/>
    </xf>
    <xf numFmtId="0" fontId="7" fillId="0" borderId="23" xfId="3" applyFont="1" applyBorder="1" applyAlignment="1" applyProtection="1">
      <alignment horizontal="center" vertical="center"/>
      <protection locked="0"/>
    </xf>
    <xf numFmtId="0" fontId="7" fillId="0" borderId="24" xfId="3" applyFont="1" applyBorder="1" applyAlignment="1" applyProtection="1">
      <alignment horizontal="center" vertical="center"/>
      <protection locked="0"/>
    </xf>
    <xf numFmtId="0" fontId="7" fillId="0" borderId="26" xfId="3" applyFont="1" applyBorder="1" applyAlignment="1" applyProtection="1">
      <alignment horizontal="center" vertical="center"/>
      <protection locked="0"/>
    </xf>
    <xf numFmtId="0" fontId="7" fillId="0" borderId="27" xfId="3" applyFont="1" applyBorder="1" applyAlignment="1" applyProtection="1">
      <alignment horizontal="center" vertical="center"/>
      <protection locked="0"/>
    </xf>
    <xf numFmtId="0" fontId="7" fillId="0" borderId="22" xfId="3" applyFont="1" applyBorder="1" applyAlignment="1" applyProtection="1">
      <alignment horizontal="left" vertical="center"/>
      <protection locked="0"/>
    </xf>
    <xf numFmtId="0" fontId="7" fillId="0" borderId="23" xfId="3" applyFont="1" applyBorder="1" applyAlignment="1" applyProtection="1">
      <alignment horizontal="left" vertical="center"/>
      <protection locked="0"/>
    </xf>
    <xf numFmtId="0" fontId="7" fillId="0" borderId="24" xfId="3" applyFont="1" applyBorder="1" applyAlignment="1" applyProtection="1">
      <alignment horizontal="left" vertical="center"/>
      <protection locked="0"/>
    </xf>
    <xf numFmtId="0" fontId="11" fillId="0" borderId="28" xfId="3" applyBorder="1" applyAlignment="1">
      <alignment horizontal="left" vertical="center"/>
    </xf>
    <xf numFmtId="0" fontId="7" fillId="0" borderId="29" xfId="3" applyFont="1" applyBorder="1" applyAlignment="1">
      <alignment horizontal="center" vertical="center"/>
    </xf>
    <xf numFmtId="0" fontId="7" fillId="0" borderId="28" xfId="3" applyFont="1" applyBorder="1" applyAlignment="1">
      <alignment horizontal="center" vertical="center"/>
    </xf>
    <xf numFmtId="0" fontId="7" fillId="0" borderId="30" xfId="3" applyFont="1" applyBorder="1" applyAlignment="1">
      <alignment horizontal="center" vertical="center"/>
    </xf>
    <xf numFmtId="0" fontId="17" fillId="0" borderId="23" xfId="3" applyFont="1" applyBorder="1" applyAlignment="1">
      <alignment horizontal="left" vertical="top"/>
    </xf>
    <xf numFmtId="0" fontId="7" fillId="0" borderId="1" xfId="3" applyFont="1" applyBorder="1" applyAlignment="1">
      <alignment horizontal="center" vertical="center"/>
    </xf>
    <xf numFmtId="0" fontId="12" fillId="0" borderId="18" xfId="3" applyFont="1" applyBorder="1" applyAlignment="1" applyProtection="1">
      <alignment horizontal="center" vertical="center" wrapText="1"/>
      <protection locked="0"/>
    </xf>
    <xf numFmtId="0" fontId="12" fillId="0" borderId="19" xfId="3" applyFont="1" applyBorder="1" applyAlignment="1" applyProtection="1">
      <alignment horizontal="center" vertical="center" wrapText="1"/>
      <protection locked="0"/>
    </xf>
    <xf numFmtId="0" fontId="12" fillId="0" borderId="22" xfId="3" applyFont="1" applyBorder="1" applyAlignment="1" applyProtection="1">
      <alignment horizontal="center" vertical="center" wrapText="1"/>
      <protection locked="0"/>
    </xf>
    <xf numFmtId="0" fontId="12" fillId="0" borderId="24" xfId="3" applyFont="1" applyBorder="1" applyAlignment="1" applyProtection="1">
      <alignment horizontal="center" vertical="center" wrapText="1"/>
      <protection locked="0"/>
    </xf>
    <xf numFmtId="0" fontId="13" fillId="0" borderId="18" xfId="3" applyFont="1" applyBorder="1" applyAlignment="1">
      <alignment horizontal="center" vertical="center"/>
    </xf>
    <xf numFmtId="0" fontId="13" fillId="0" borderId="21" xfId="3" applyFont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0" fontId="14" fillId="0" borderId="18" xfId="3" applyFont="1" applyBorder="1" applyAlignment="1" applyProtection="1">
      <alignment horizontal="center" vertical="center" wrapText="1"/>
      <protection locked="0"/>
    </xf>
    <xf numFmtId="0" fontId="14" fillId="0" borderId="21" xfId="3" applyFont="1" applyBorder="1" applyAlignment="1" applyProtection="1">
      <alignment horizontal="center" vertical="center" wrapText="1"/>
      <protection locked="0"/>
    </xf>
    <xf numFmtId="0" fontId="14" fillId="0" borderId="19" xfId="3" applyFont="1" applyBorder="1" applyAlignment="1" applyProtection="1">
      <alignment horizontal="center" vertical="center" wrapText="1"/>
      <protection locked="0"/>
    </xf>
    <xf numFmtId="0" fontId="14" fillId="0" borderId="22" xfId="3" applyFont="1" applyBorder="1" applyAlignment="1" applyProtection="1">
      <alignment horizontal="center" vertical="center" wrapText="1"/>
      <protection locked="0"/>
    </xf>
    <xf numFmtId="0" fontId="14" fillId="0" borderId="23" xfId="3" applyFont="1" applyBorder="1" applyAlignment="1" applyProtection="1">
      <alignment horizontal="center" vertical="center" wrapText="1"/>
      <protection locked="0"/>
    </xf>
    <xf numFmtId="0" fontId="14" fillId="0" borderId="24" xfId="3" applyFont="1" applyBorder="1" applyAlignment="1" applyProtection="1">
      <alignment horizontal="center" vertical="center" wrapText="1"/>
      <protection locked="0"/>
    </xf>
    <xf numFmtId="0" fontId="15" fillId="0" borderId="22" xfId="3" applyFont="1" applyBorder="1" applyAlignment="1" applyProtection="1">
      <alignment horizontal="center" vertical="center" wrapText="1"/>
      <protection locked="0"/>
    </xf>
    <xf numFmtId="0" fontId="15" fillId="0" borderId="23" xfId="3" applyFont="1" applyBorder="1" applyAlignment="1" applyProtection="1">
      <alignment horizontal="center" vertical="center" wrapText="1"/>
      <protection locked="0"/>
    </xf>
    <xf numFmtId="0" fontId="15" fillId="0" borderId="24" xfId="3" applyFont="1" applyBorder="1" applyAlignment="1" applyProtection="1">
      <alignment horizontal="center" vertical="center" wrapText="1"/>
      <protection locked="0"/>
    </xf>
    <xf numFmtId="0" fontId="7" fillId="0" borderId="18" xfId="3" applyFont="1" applyBorder="1" applyAlignment="1" applyProtection="1">
      <alignment horizontal="left" vertical="center"/>
      <protection locked="0"/>
    </xf>
    <xf numFmtId="0" fontId="7" fillId="0" borderId="21" xfId="3" applyFont="1" applyBorder="1" applyAlignment="1" applyProtection="1">
      <alignment horizontal="left" vertical="center"/>
      <protection locked="0"/>
    </xf>
    <xf numFmtId="0" fontId="7" fillId="0" borderId="19" xfId="3" applyFont="1" applyBorder="1" applyAlignment="1" applyProtection="1">
      <alignment horizontal="left" vertical="center"/>
      <protection locked="0"/>
    </xf>
  </cellXfs>
  <cellStyles count="4">
    <cellStyle name="Normal" xfId="0" builtinId="0"/>
    <cellStyle name="Normal 2" xfId="3" xr:uid="{3CD78A73-403D-4404-8B0A-4F6CFB8885F6}"/>
    <cellStyle name="Vírgula 2" xfId="1" xr:uid="{C7ADF4BC-4D00-486D-A471-458410135133}"/>
    <cellStyle name="Vírgula 2 2" xfId="2" xr:uid="{5CF64892-69FA-41B6-AD3B-967A1A390EE2}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C7CE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" Target="richData/rdrichvalue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216353</xdr:colOff>
      <xdr:row>0</xdr:row>
      <xdr:rowOff>180975</xdr:rowOff>
    </xdr:from>
    <xdr:to>
      <xdr:col>3</xdr:col>
      <xdr:colOff>140153</xdr:colOff>
      <xdr:row>1</xdr:row>
      <xdr:rowOff>180975</xdr:rowOff>
    </xdr:to>
    <xdr:pic>
      <xdr:nvPicPr>
        <xdr:cNvPr id="2" name="Picture 53">
          <a:extLst>
            <a:ext uri="{FF2B5EF4-FFF2-40B4-BE49-F238E27FC236}">
              <a16:creationId xmlns:a16="http://schemas.microsoft.com/office/drawing/2014/main" id="{C720B856-CD0A-4DE6-8E6F-B9468440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353" y="180975"/>
          <a:ext cx="8382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9784-2D2F-460F-9FCA-11D91CED664B}">
  <dimension ref="A1:N49"/>
  <sheetViews>
    <sheetView showGridLines="0" view="pageBreakPreview" zoomScale="70" zoomScaleNormal="70" zoomScaleSheetLayoutView="70" workbookViewId="0">
      <selection activeCell="A32" sqref="A32:XFD32"/>
    </sheetView>
  </sheetViews>
  <sheetFormatPr defaultColWidth="9.109375" defaultRowHeight="13.2" x14ac:dyDescent="0.25"/>
  <cols>
    <col min="1" max="1" width="4.5546875" style="24" customWidth="1"/>
    <col min="2" max="2" width="4.6640625" style="24" customWidth="1"/>
    <col min="3" max="3" width="4.109375" style="24" customWidth="1"/>
    <col min="4" max="4" width="5.44140625" style="24" customWidth="1"/>
    <col min="5" max="5" width="5" style="24" customWidth="1"/>
    <col min="6" max="6" width="9.88671875" style="24" customWidth="1"/>
    <col min="7" max="7" width="6" style="24" customWidth="1"/>
    <col min="8" max="8" width="4.44140625" style="24" customWidth="1"/>
    <col min="9" max="9" width="4.88671875" style="24" customWidth="1"/>
    <col min="10" max="11" width="6.88671875" style="24" customWidth="1"/>
    <col min="12" max="12" width="7.109375" style="24" customWidth="1"/>
    <col min="13" max="13" width="7.33203125" style="24" customWidth="1"/>
    <col min="14" max="14" width="10.109375" style="24" customWidth="1"/>
    <col min="15" max="16384" width="9.109375" style="24"/>
  </cols>
  <sheetData>
    <row r="1" spans="1:14" ht="26.1" customHeight="1" x14ac:dyDescent="0.25">
      <c r="A1" s="22"/>
      <c r="B1" s="23"/>
      <c r="C1" s="23"/>
      <c r="D1" s="23"/>
      <c r="E1" s="157" t="e" vm="1">
        <v>#VALUE!</v>
      </c>
      <c r="F1" s="158"/>
      <c r="G1" s="161" t="s">
        <v>290</v>
      </c>
      <c r="H1" s="162"/>
      <c r="I1" s="163"/>
      <c r="J1" s="164" t="s">
        <v>291</v>
      </c>
      <c r="K1" s="165"/>
      <c r="L1" s="165"/>
      <c r="M1" s="165"/>
      <c r="N1" s="166"/>
    </row>
    <row r="2" spans="1:14" ht="24.45" customHeight="1" x14ac:dyDescent="0.25">
      <c r="A2" s="25"/>
      <c r="B2" s="26"/>
      <c r="C2" s="26"/>
      <c r="D2" s="26"/>
      <c r="E2" s="159"/>
      <c r="F2" s="160"/>
      <c r="G2" s="170" t="s">
        <v>292</v>
      </c>
      <c r="H2" s="171"/>
      <c r="I2" s="172"/>
      <c r="J2" s="167"/>
      <c r="K2" s="168"/>
      <c r="L2" s="168"/>
      <c r="M2" s="168"/>
      <c r="N2" s="169"/>
    </row>
    <row r="3" spans="1:14" ht="11.1" customHeight="1" x14ac:dyDescent="0.25">
      <c r="A3" s="173" t="s">
        <v>293</v>
      </c>
      <c r="B3" s="174"/>
      <c r="C3" s="174"/>
      <c r="D3" s="174"/>
      <c r="E3" s="174"/>
      <c r="F3" s="174"/>
      <c r="G3" s="174"/>
      <c r="H3" s="174"/>
      <c r="I3" s="175"/>
      <c r="J3" s="132" t="s">
        <v>294</v>
      </c>
      <c r="K3" s="133"/>
      <c r="L3" s="133"/>
      <c r="M3" s="134"/>
      <c r="N3" s="27" t="s">
        <v>295</v>
      </c>
    </row>
    <row r="4" spans="1:14" ht="11.1" customHeight="1" x14ac:dyDescent="0.25">
      <c r="A4" s="121" t="s">
        <v>323</v>
      </c>
      <c r="B4" s="122"/>
      <c r="C4" s="122"/>
      <c r="D4" s="122"/>
      <c r="E4" s="122"/>
      <c r="F4" s="122"/>
      <c r="G4" s="122"/>
      <c r="H4" s="122"/>
      <c r="I4" s="123"/>
      <c r="J4" s="124" t="s">
        <v>322</v>
      </c>
      <c r="K4" s="125"/>
      <c r="L4" s="125"/>
      <c r="M4" s="126"/>
      <c r="N4" s="130" t="s">
        <v>328</v>
      </c>
    </row>
    <row r="5" spans="1:14" ht="5.4" customHeight="1" x14ac:dyDescent="0.25">
      <c r="A5" s="121" t="s">
        <v>325</v>
      </c>
      <c r="B5" s="122"/>
      <c r="C5" s="122"/>
      <c r="D5" s="122"/>
      <c r="E5" s="122"/>
      <c r="F5" s="122"/>
      <c r="G5" s="122"/>
      <c r="H5" s="122"/>
      <c r="I5" s="123"/>
      <c r="J5" s="127"/>
      <c r="K5" s="128"/>
      <c r="L5" s="128"/>
      <c r="M5" s="129"/>
      <c r="N5" s="131"/>
    </row>
    <row r="6" spans="1:14" ht="5.4" customHeight="1" x14ac:dyDescent="0.25">
      <c r="A6" s="121"/>
      <c r="B6" s="122"/>
      <c r="C6" s="122"/>
      <c r="D6" s="122"/>
      <c r="E6" s="122"/>
      <c r="F6" s="122"/>
      <c r="G6" s="122"/>
      <c r="H6" s="122"/>
      <c r="I6" s="123"/>
      <c r="J6" s="132" t="s">
        <v>296</v>
      </c>
      <c r="K6" s="133"/>
      <c r="L6" s="133"/>
      <c r="M6" s="134"/>
      <c r="N6" s="138" t="s">
        <v>297</v>
      </c>
    </row>
    <row r="7" spans="1:14" ht="5.4" customHeight="1" x14ac:dyDescent="0.25">
      <c r="A7" s="121" t="s">
        <v>324</v>
      </c>
      <c r="B7" s="122"/>
      <c r="C7" s="122"/>
      <c r="D7" s="122"/>
      <c r="E7" s="122"/>
      <c r="F7" s="122"/>
      <c r="G7" s="122"/>
      <c r="H7" s="122"/>
      <c r="I7" s="123"/>
      <c r="J7" s="135"/>
      <c r="K7" s="136"/>
      <c r="L7" s="136"/>
      <c r="M7" s="137"/>
      <c r="N7" s="139"/>
    </row>
    <row r="8" spans="1:14" ht="5.4" customHeight="1" x14ac:dyDescent="0.25">
      <c r="A8" s="121"/>
      <c r="B8" s="122"/>
      <c r="C8" s="122"/>
      <c r="D8" s="122"/>
      <c r="E8" s="122"/>
      <c r="F8" s="122"/>
      <c r="G8" s="122"/>
      <c r="H8" s="122"/>
      <c r="I8" s="123"/>
      <c r="J8" s="140" t="s">
        <v>321</v>
      </c>
      <c r="K8" s="141"/>
      <c r="L8" s="141"/>
      <c r="M8" s="142"/>
      <c r="N8" s="146">
        <v>0</v>
      </c>
    </row>
    <row r="9" spans="1:14" ht="11.1" customHeight="1" x14ac:dyDescent="0.25">
      <c r="A9" s="148" t="s">
        <v>298</v>
      </c>
      <c r="B9" s="149"/>
      <c r="C9" s="149"/>
      <c r="D9" s="149"/>
      <c r="E9" s="149"/>
      <c r="F9" s="149"/>
      <c r="G9" s="149"/>
      <c r="H9" s="149"/>
      <c r="I9" s="150"/>
      <c r="J9" s="143"/>
      <c r="K9" s="144"/>
      <c r="L9" s="144"/>
      <c r="M9" s="145"/>
      <c r="N9" s="147"/>
    </row>
    <row r="10" spans="1:14" ht="6" customHeight="1" x14ac:dyDescent="0.25">
      <c r="A10" s="151"/>
      <c r="B10" s="151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</row>
    <row r="11" spans="1:14" ht="18.149999999999999" customHeight="1" x14ac:dyDescent="0.25">
      <c r="A11" s="152" t="s">
        <v>299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4"/>
    </row>
    <row r="12" spans="1:14" ht="14.4" customHeight="1" x14ac:dyDescent="0.25">
      <c r="A12" s="28" t="s">
        <v>300</v>
      </c>
      <c r="B12" s="29"/>
      <c r="C12" s="30" t="s">
        <v>301</v>
      </c>
      <c r="D12" s="31"/>
      <c r="E12" s="31"/>
      <c r="F12" s="30" t="s">
        <v>302</v>
      </c>
      <c r="G12" s="31"/>
      <c r="H12" s="31"/>
      <c r="I12" s="30" t="s">
        <v>303</v>
      </c>
      <c r="J12" s="31"/>
      <c r="K12" s="31"/>
      <c r="L12" s="30" t="s">
        <v>304</v>
      </c>
      <c r="M12" s="31"/>
      <c r="N12" s="32"/>
    </row>
    <row r="13" spans="1:14" ht="12.45" customHeight="1" x14ac:dyDescent="0.25">
      <c r="A13" s="33" t="s">
        <v>305</v>
      </c>
      <c r="B13" s="34"/>
      <c r="C13" s="35" t="s">
        <v>306</v>
      </c>
      <c r="D13" s="36"/>
      <c r="E13" s="36"/>
      <c r="F13" s="35" t="s">
        <v>307</v>
      </c>
      <c r="G13" s="36"/>
      <c r="H13" s="36"/>
      <c r="I13" s="155" t="s">
        <v>308</v>
      </c>
      <c r="J13" s="155"/>
      <c r="K13" s="155"/>
      <c r="L13" s="35" t="s">
        <v>309</v>
      </c>
      <c r="M13" s="36"/>
      <c r="N13" s="37"/>
    </row>
    <row r="14" spans="1:14" ht="18" customHeight="1" x14ac:dyDescent="0.25">
      <c r="A14" s="38" t="s">
        <v>310</v>
      </c>
      <c r="B14" s="38" t="s">
        <v>311</v>
      </c>
      <c r="C14" s="156" t="s">
        <v>312</v>
      </c>
      <c r="D14" s="156"/>
      <c r="E14" s="156"/>
      <c r="F14" s="156"/>
      <c r="G14" s="156"/>
      <c r="H14" s="156"/>
      <c r="I14" s="156"/>
      <c r="J14" s="38" t="s">
        <v>313</v>
      </c>
      <c r="K14" s="38" t="s">
        <v>314</v>
      </c>
      <c r="L14" s="38" t="s">
        <v>315</v>
      </c>
      <c r="M14" s="38" t="s">
        <v>316</v>
      </c>
      <c r="N14" s="38" t="s">
        <v>317</v>
      </c>
    </row>
    <row r="15" spans="1:14" ht="30.9" customHeight="1" x14ac:dyDescent="0.25">
      <c r="A15" s="39">
        <v>0</v>
      </c>
      <c r="B15" s="39" t="s">
        <v>318</v>
      </c>
      <c r="C15" s="113" t="s">
        <v>319</v>
      </c>
      <c r="D15" s="113"/>
      <c r="E15" s="113"/>
      <c r="F15" s="113"/>
      <c r="G15" s="113"/>
      <c r="H15" s="113"/>
      <c r="I15" s="113"/>
      <c r="J15" s="40" t="s">
        <v>326</v>
      </c>
      <c r="K15" s="40" t="s">
        <v>320</v>
      </c>
      <c r="L15" s="40" t="s">
        <v>320</v>
      </c>
      <c r="M15" s="40" t="s">
        <v>327</v>
      </c>
      <c r="N15" s="41">
        <v>44856</v>
      </c>
    </row>
    <row r="16" spans="1:14" ht="30" customHeight="1" x14ac:dyDescent="0.25">
      <c r="A16" s="42"/>
      <c r="B16" s="42"/>
      <c r="C16" s="120"/>
      <c r="D16" s="120"/>
      <c r="E16" s="120"/>
      <c r="F16" s="120"/>
      <c r="G16" s="120"/>
      <c r="H16" s="120"/>
      <c r="I16" s="120"/>
      <c r="J16" s="43"/>
      <c r="K16" s="43"/>
      <c r="L16" s="43"/>
      <c r="M16" s="43"/>
      <c r="N16" s="44"/>
    </row>
    <row r="17" spans="1:14" ht="31.5" customHeight="1" x14ac:dyDescent="0.25">
      <c r="A17" s="42"/>
      <c r="B17" s="42"/>
      <c r="C17" s="117"/>
      <c r="D17" s="118"/>
      <c r="E17" s="118"/>
      <c r="F17" s="118"/>
      <c r="G17" s="118"/>
      <c r="H17" s="118"/>
      <c r="I17" s="119"/>
      <c r="J17" s="45"/>
      <c r="K17" s="42"/>
      <c r="L17" s="42"/>
      <c r="M17" s="42"/>
      <c r="N17" s="44"/>
    </row>
    <row r="18" spans="1:14" ht="30" customHeight="1" x14ac:dyDescent="0.25">
      <c r="A18" s="39"/>
      <c r="B18" s="39"/>
      <c r="C18" s="113"/>
      <c r="D18" s="113"/>
      <c r="E18" s="113"/>
      <c r="F18" s="113"/>
      <c r="G18" s="113"/>
      <c r="H18" s="113"/>
      <c r="I18" s="113"/>
      <c r="J18" s="46"/>
      <c r="K18" s="39"/>
      <c r="L18" s="39"/>
      <c r="M18" s="39"/>
      <c r="N18" s="41"/>
    </row>
    <row r="19" spans="1:14" ht="30" customHeight="1" x14ac:dyDescent="0.25">
      <c r="A19" s="39"/>
      <c r="B19" s="39"/>
      <c r="C19" s="113"/>
      <c r="D19" s="113"/>
      <c r="E19" s="113"/>
      <c r="F19" s="113"/>
      <c r="G19" s="113"/>
      <c r="H19" s="113"/>
      <c r="I19" s="113"/>
      <c r="J19" s="46"/>
      <c r="K19" s="39"/>
      <c r="L19" s="39"/>
      <c r="M19" s="39"/>
      <c r="N19" s="41"/>
    </row>
    <row r="20" spans="1:14" ht="30" customHeight="1" x14ac:dyDescent="0.25">
      <c r="A20" s="39"/>
      <c r="B20" s="39"/>
      <c r="C20" s="113"/>
      <c r="D20" s="113"/>
      <c r="E20" s="113"/>
      <c r="F20" s="113"/>
      <c r="G20" s="113"/>
      <c r="H20" s="113"/>
      <c r="I20" s="113"/>
      <c r="J20" s="46"/>
      <c r="K20" s="39"/>
      <c r="L20" s="39"/>
      <c r="M20" s="39"/>
      <c r="N20" s="41"/>
    </row>
    <row r="21" spans="1:14" ht="30" customHeight="1" x14ac:dyDescent="0.25">
      <c r="A21" s="39"/>
      <c r="B21" s="39"/>
      <c r="C21" s="113"/>
      <c r="D21" s="113"/>
      <c r="E21" s="113"/>
      <c r="F21" s="113"/>
      <c r="G21" s="113"/>
      <c r="H21" s="113"/>
      <c r="I21" s="113"/>
      <c r="J21" s="46"/>
      <c r="K21" s="39"/>
      <c r="L21" s="39"/>
      <c r="M21" s="39"/>
      <c r="N21" s="41"/>
    </row>
    <row r="22" spans="1:14" ht="30.6" customHeight="1" x14ac:dyDescent="0.25">
      <c r="A22" s="39"/>
      <c r="B22" s="39"/>
      <c r="C22" s="113"/>
      <c r="D22" s="113"/>
      <c r="E22" s="113"/>
      <c r="F22" s="113"/>
      <c r="G22" s="113"/>
      <c r="H22" s="113"/>
      <c r="I22" s="113"/>
      <c r="J22" s="46"/>
      <c r="K22" s="39"/>
      <c r="L22" s="39"/>
      <c r="M22" s="39"/>
      <c r="N22" s="41"/>
    </row>
    <row r="23" spans="1:14" ht="30.6" customHeight="1" x14ac:dyDescent="0.25">
      <c r="A23" s="39"/>
      <c r="B23" s="39"/>
      <c r="C23" s="113"/>
      <c r="D23" s="113"/>
      <c r="E23" s="113"/>
      <c r="F23" s="113"/>
      <c r="G23" s="113"/>
      <c r="H23" s="113"/>
      <c r="I23" s="113"/>
      <c r="J23" s="46"/>
      <c r="K23" s="39"/>
      <c r="L23" s="39"/>
      <c r="M23" s="39"/>
      <c r="N23" s="41"/>
    </row>
    <row r="24" spans="1:14" ht="30.6" customHeight="1" x14ac:dyDescent="0.25">
      <c r="A24" s="39"/>
      <c r="B24" s="39"/>
      <c r="C24" s="113"/>
      <c r="D24" s="113"/>
      <c r="E24" s="113"/>
      <c r="F24" s="113"/>
      <c r="G24" s="113"/>
      <c r="H24" s="113"/>
      <c r="I24" s="113"/>
      <c r="J24" s="46"/>
      <c r="K24" s="39"/>
      <c r="L24" s="39"/>
      <c r="M24" s="39"/>
      <c r="N24" s="41"/>
    </row>
    <row r="25" spans="1:14" ht="30.6" customHeight="1" x14ac:dyDescent="0.25">
      <c r="A25" s="39"/>
      <c r="B25" s="39"/>
      <c r="C25" s="113"/>
      <c r="D25" s="113"/>
      <c r="E25" s="113"/>
      <c r="F25" s="113"/>
      <c r="G25" s="113"/>
      <c r="H25" s="113"/>
      <c r="I25" s="113"/>
      <c r="J25" s="46"/>
      <c r="K25" s="39"/>
      <c r="L25" s="39"/>
      <c r="M25" s="39"/>
      <c r="N25" s="41"/>
    </row>
    <row r="26" spans="1:14" ht="30.6" customHeight="1" x14ac:dyDescent="0.25">
      <c r="A26" s="39"/>
      <c r="B26" s="39"/>
      <c r="C26" s="113"/>
      <c r="D26" s="113"/>
      <c r="E26" s="113"/>
      <c r="F26" s="113"/>
      <c r="G26" s="113"/>
      <c r="H26" s="113"/>
      <c r="I26" s="113"/>
      <c r="J26" s="46"/>
      <c r="K26" s="39"/>
      <c r="L26" s="39"/>
      <c r="M26" s="39"/>
      <c r="N26" s="41"/>
    </row>
    <row r="27" spans="1:14" ht="30.6" customHeight="1" x14ac:dyDescent="0.25">
      <c r="A27" s="39"/>
      <c r="B27" s="39"/>
      <c r="C27" s="113"/>
      <c r="D27" s="113"/>
      <c r="E27" s="113"/>
      <c r="F27" s="113"/>
      <c r="G27" s="113"/>
      <c r="H27" s="113"/>
      <c r="I27" s="113"/>
      <c r="J27" s="46"/>
      <c r="K27" s="39"/>
      <c r="L27" s="39"/>
      <c r="M27" s="39"/>
      <c r="N27" s="41"/>
    </row>
    <row r="28" spans="1:14" ht="30.6" customHeight="1" x14ac:dyDescent="0.25">
      <c r="A28" s="39"/>
      <c r="B28" s="39"/>
      <c r="C28" s="113"/>
      <c r="D28" s="113"/>
      <c r="E28" s="113"/>
      <c r="F28" s="113"/>
      <c r="G28" s="113"/>
      <c r="H28" s="113"/>
      <c r="I28" s="113"/>
      <c r="J28" s="46"/>
      <c r="K28" s="39"/>
      <c r="L28" s="39"/>
      <c r="M28" s="39"/>
      <c r="N28" s="41"/>
    </row>
    <row r="29" spans="1:14" ht="30.6" customHeight="1" x14ac:dyDescent="0.25">
      <c r="A29" s="39"/>
      <c r="B29" s="39"/>
      <c r="C29" s="113"/>
      <c r="D29" s="113"/>
      <c r="E29" s="113"/>
      <c r="F29" s="113"/>
      <c r="G29" s="113"/>
      <c r="H29" s="113"/>
      <c r="I29" s="113"/>
      <c r="J29" s="46"/>
      <c r="K29" s="39"/>
      <c r="L29" s="39"/>
      <c r="M29" s="39"/>
      <c r="N29" s="41"/>
    </row>
    <row r="30" spans="1:14" ht="30.6" customHeight="1" x14ac:dyDescent="0.25">
      <c r="A30" s="39"/>
      <c r="B30" s="39"/>
      <c r="C30" s="113"/>
      <c r="D30" s="113"/>
      <c r="E30" s="113"/>
      <c r="F30" s="113"/>
      <c r="G30" s="113"/>
      <c r="H30" s="113"/>
      <c r="I30" s="113"/>
      <c r="J30" s="46"/>
      <c r="K30" s="39"/>
      <c r="L30" s="39"/>
      <c r="M30" s="39"/>
      <c r="N30" s="41"/>
    </row>
    <row r="31" spans="1:14" ht="30.6" customHeight="1" x14ac:dyDescent="0.25">
      <c r="A31" s="39"/>
      <c r="B31" s="39"/>
      <c r="C31" s="113"/>
      <c r="D31" s="113"/>
      <c r="E31" s="113"/>
      <c r="F31" s="113"/>
      <c r="G31" s="113"/>
      <c r="H31" s="113"/>
      <c r="I31" s="113"/>
      <c r="J31" s="46"/>
      <c r="K31" s="39"/>
      <c r="L31" s="39"/>
      <c r="M31" s="39"/>
      <c r="N31" s="41"/>
    </row>
    <row r="32" spans="1:14" ht="29.4" customHeight="1" x14ac:dyDescent="0.25">
      <c r="A32" s="39"/>
      <c r="B32" s="39"/>
      <c r="C32" s="114"/>
      <c r="D32" s="115"/>
      <c r="E32" s="115"/>
      <c r="F32" s="115"/>
      <c r="G32" s="115"/>
      <c r="H32" s="115"/>
      <c r="I32" s="116"/>
      <c r="J32" s="46"/>
      <c r="K32" s="39"/>
      <c r="L32" s="39"/>
      <c r="M32" s="39"/>
      <c r="N32" s="41"/>
    </row>
    <row r="33" spans="1:14" ht="28.5" customHeight="1" x14ac:dyDescent="0.25">
      <c r="A33" s="39"/>
      <c r="B33" s="39"/>
      <c r="C33" s="113"/>
      <c r="D33" s="113"/>
      <c r="E33" s="113"/>
      <c r="F33" s="113"/>
      <c r="G33" s="113"/>
      <c r="H33" s="113"/>
      <c r="I33" s="113"/>
      <c r="J33" s="46"/>
      <c r="K33" s="39"/>
      <c r="L33" s="39"/>
      <c r="M33" s="39"/>
      <c r="N33" s="41"/>
    </row>
    <row r="34" spans="1:14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</row>
    <row r="35" spans="1:14" x14ac:dyDescent="0.2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</row>
    <row r="36" spans="1:14" x14ac:dyDescent="0.25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</row>
    <row r="37" spans="1:14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 spans="1:14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1:14" x14ac:dyDescent="0.25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</row>
    <row r="40" spans="1:14" x14ac:dyDescent="0.25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</row>
    <row r="41" spans="1:14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</row>
    <row r="42" spans="1:14" x14ac:dyDescent="0.25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1:14" x14ac:dyDescent="0.25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</row>
    <row r="44" spans="1:14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</row>
    <row r="45" spans="1:14" x14ac:dyDescent="0.2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</row>
    <row r="46" spans="1:14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</row>
    <row r="47" spans="1:14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</row>
    <row r="48" spans="1:14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  <row r="49" spans="1:14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</sheetData>
  <mergeCells count="39">
    <mergeCell ref="E1:F2"/>
    <mergeCell ref="G1:I1"/>
    <mergeCell ref="J1:N2"/>
    <mergeCell ref="G2:I2"/>
    <mergeCell ref="A3:I3"/>
    <mergeCell ref="J3:M3"/>
    <mergeCell ref="C16:I16"/>
    <mergeCell ref="A4:I4"/>
    <mergeCell ref="J4:M5"/>
    <mergeCell ref="N4:N5"/>
    <mergeCell ref="A5:I6"/>
    <mergeCell ref="J6:M7"/>
    <mergeCell ref="N6:N7"/>
    <mergeCell ref="A7:I8"/>
    <mergeCell ref="J8:M9"/>
    <mergeCell ref="N8:N9"/>
    <mergeCell ref="A9:I9"/>
    <mergeCell ref="A10:N10"/>
    <mergeCell ref="A11:N11"/>
    <mergeCell ref="I13:K13"/>
    <mergeCell ref="C14:I14"/>
    <mergeCell ref="C15:I15"/>
    <mergeCell ref="C28:I28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9:I29"/>
    <mergeCell ref="C30:I30"/>
    <mergeCell ref="C31:I31"/>
    <mergeCell ref="C32:I32"/>
    <mergeCell ref="C33:I33"/>
  </mergeCells>
  <pageMargins left="0.98425196850393704" right="0.39370078740157483" top="0.59055118110236227" bottom="0.39370078740157483" header="1.1811023622047245" footer="0.31496062992125984"/>
  <pageSetup paperSize="9" orientation="portrait" r:id="rId1"/>
  <headerFooter alignWithMargins="0">
    <oddFooter>&amp;L&amp;6           Anexo A_PR-E-020_Rev6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229"/>
  <sheetViews>
    <sheetView tabSelected="1" view="pageBreakPreview" zoomScale="70" zoomScaleNormal="70" zoomScaleSheetLayoutView="70" zoomScalePageLayoutView="40" workbookViewId="0">
      <pane xSplit="1" ySplit="7" topLeftCell="B122" activePane="bottomRight" state="frozen"/>
      <selection activeCell="A32" sqref="A32:XFD32"/>
      <selection pane="topRight" activeCell="A32" sqref="A32:XFD32"/>
      <selection pane="bottomLeft" activeCell="A32" sqref="A32:XFD32"/>
      <selection pane="bottomRight" activeCell="L34" sqref="L34"/>
    </sheetView>
  </sheetViews>
  <sheetFormatPr defaultColWidth="9.109375" defaultRowHeight="20.100000000000001" customHeight="1" x14ac:dyDescent="0.3"/>
  <cols>
    <col min="1" max="1" width="9.109375" style="1"/>
    <col min="2" max="2" width="8.33203125" style="8" customWidth="1"/>
    <col min="3" max="3" width="25.33203125" style="8" customWidth="1"/>
    <col min="4" max="4" width="23.6640625" style="8" customWidth="1"/>
    <col min="5" max="5" width="15.6640625" style="9" customWidth="1"/>
    <col min="6" max="6" width="19" style="9" customWidth="1"/>
    <col min="7" max="7" width="19.5546875" style="9" customWidth="1"/>
    <col min="8" max="8" width="15.6640625" style="10" customWidth="1"/>
    <col min="9" max="11" width="15.6640625" style="1" customWidth="1"/>
    <col min="12" max="12" width="15.6640625" style="8" customWidth="1"/>
    <col min="13" max="16" width="15.6640625" style="1" customWidth="1"/>
    <col min="17" max="17" width="16.44140625" style="1" customWidth="1"/>
    <col min="18" max="16384" width="9.109375" style="1"/>
  </cols>
  <sheetData>
    <row r="1" spans="2:17" ht="20.100000000000001" customHeight="1" thickBot="1" x14ac:dyDescent="0.35"/>
    <row r="2" spans="2:17" ht="19.95" customHeight="1" x14ac:dyDescent="0.3">
      <c r="B2" s="84" t="e" vm="1">
        <v>#VALUE!</v>
      </c>
      <c r="C2" s="85"/>
      <c r="D2" s="90" t="s">
        <v>12</v>
      </c>
      <c r="E2" s="91"/>
      <c r="F2" s="91"/>
      <c r="G2" s="91"/>
      <c r="H2" s="91"/>
      <c r="I2" s="91"/>
      <c r="J2" s="91"/>
      <c r="K2" s="91"/>
      <c r="L2" s="91"/>
      <c r="M2" s="92"/>
      <c r="N2" s="99" t="s">
        <v>19</v>
      </c>
      <c r="O2" s="100"/>
      <c r="P2" s="107" t="s">
        <v>17</v>
      </c>
      <c r="Q2" s="108"/>
    </row>
    <row r="3" spans="2:17" ht="19.95" customHeight="1" x14ac:dyDescent="0.3">
      <c r="B3" s="86"/>
      <c r="C3" s="87"/>
      <c r="D3" s="93"/>
      <c r="E3" s="94"/>
      <c r="F3" s="94"/>
      <c r="G3" s="94"/>
      <c r="H3" s="94"/>
      <c r="I3" s="94"/>
      <c r="J3" s="94"/>
      <c r="K3" s="94"/>
      <c r="L3" s="94"/>
      <c r="M3" s="95"/>
      <c r="N3" s="101"/>
      <c r="O3" s="102"/>
      <c r="P3" s="109"/>
      <c r="Q3" s="110"/>
    </row>
    <row r="4" spans="2:17" ht="19.95" customHeight="1" x14ac:dyDescent="0.3">
      <c r="B4" s="86"/>
      <c r="C4" s="87"/>
      <c r="D4" s="93"/>
      <c r="E4" s="94"/>
      <c r="F4" s="94"/>
      <c r="G4" s="94"/>
      <c r="H4" s="94"/>
      <c r="I4" s="94"/>
      <c r="J4" s="94"/>
      <c r="K4" s="94"/>
      <c r="L4" s="94"/>
      <c r="M4" s="95"/>
      <c r="N4" s="103" t="s">
        <v>175</v>
      </c>
      <c r="O4" s="104"/>
      <c r="P4" s="103" t="s">
        <v>18</v>
      </c>
      <c r="Q4" s="111"/>
    </row>
    <row r="5" spans="2:17" ht="19.95" customHeight="1" thickBot="1" x14ac:dyDescent="0.35">
      <c r="B5" s="88"/>
      <c r="C5" s="89"/>
      <c r="D5" s="96"/>
      <c r="E5" s="97"/>
      <c r="F5" s="97"/>
      <c r="G5" s="97"/>
      <c r="H5" s="97"/>
      <c r="I5" s="97"/>
      <c r="J5" s="97"/>
      <c r="K5" s="97"/>
      <c r="L5" s="97"/>
      <c r="M5" s="98"/>
      <c r="N5" s="105"/>
      <c r="O5" s="106"/>
      <c r="P5" s="105"/>
      <c r="Q5" s="112"/>
    </row>
    <row r="6" spans="2:17" ht="13.95" customHeight="1" x14ac:dyDescent="0.3">
      <c r="B6" s="1"/>
      <c r="C6" s="1"/>
      <c r="D6" s="1"/>
      <c r="E6" s="1"/>
      <c r="F6" s="1"/>
      <c r="G6" s="1"/>
      <c r="H6" s="1"/>
    </row>
    <row r="7" spans="2:17" s="4" customFormat="1" ht="57.75" customHeight="1" x14ac:dyDescent="0.3">
      <c r="B7" s="2" t="s">
        <v>16</v>
      </c>
      <c r="C7" s="2" t="s">
        <v>15</v>
      </c>
      <c r="D7" s="2" t="s">
        <v>14</v>
      </c>
      <c r="E7" s="3" t="s">
        <v>0</v>
      </c>
      <c r="F7" s="3" t="s">
        <v>1</v>
      </c>
      <c r="G7" s="3" t="s">
        <v>13</v>
      </c>
      <c r="H7" s="3" t="s">
        <v>2</v>
      </c>
      <c r="I7" s="2" t="s">
        <v>3</v>
      </c>
      <c r="J7" s="2" t="s">
        <v>4</v>
      </c>
      <c r="K7" s="2" t="s">
        <v>5</v>
      </c>
      <c r="L7" s="2" t="s">
        <v>6</v>
      </c>
      <c r="M7" s="2" t="s">
        <v>7</v>
      </c>
      <c r="N7" s="2" t="s">
        <v>8</v>
      </c>
      <c r="O7" s="11" t="s">
        <v>9</v>
      </c>
      <c r="P7" s="11" t="s">
        <v>10</v>
      </c>
      <c r="Q7" s="11" t="s">
        <v>11</v>
      </c>
    </row>
    <row r="8" spans="2:17" ht="80.099999999999994" customHeight="1" x14ac:dyDescent="0.3">
      <c r="B8" s="57">
        <v>1</v>
      </c>
      <c r="C8" s="57" t="s">
        <v>20</v>
      </c>
      <c r="D8" s="58" t="s">
        <v>530</v>
      </c>
      <c r="E8" s="66" t="s">
        <v>524</v>
      </c>
      <c r="F8" s="60" t="s">
        <v>21</v>
      </c>
      <c r="G8" s="60" t="s">
        <v>22</v>
      </c>
      <c r="H8" s="62" t="s">
        <v>23</v>
      </c>
      <c r="I8" s="65" t="s">
        <v>24</v>
      </c>
      <c r="J8" s="63">
        <v>45607</v>
      </c>
      <c r="K8" s="63">
        <v>45972</v>
      </c>
      <c r="L8" s="57" t="s">
        <v>600</v>
      </c>
      <c r="M8" s="57">
        <v>2024008980</v>
      </c>
      <c r="N8" s="65" t="s">
        <v>25</v>
      </c>
      <c r="O8" s="65"/>
      <c r="P8" s="57" t="s">
        <v>347</v>
      </c>
      <c r="Q8" s="71" t="s">
        <v>523</v>
      </c>
    </row>
    <row r="9" spans="2:17" ht="80.099999999999994" customHeight="1" x14ac:dyDescent="0.3">
      <c r="B9" s="48">
        <v>2</v>
      </c>
      <c r="C9" s="48" t="s">
        <v>20</v>
      </c>
      <c r="D9" s="49" t="s">
        <v>587</v>
      </c>
      <c r="E9" s="54" t="s">
        <v>27</v>
      </c>
      <c r="F9" s="50" t="s">
        <v>21</v>
      </c>
      <c r="G9" s="54" t="s">
        <v>28</v>
      </c>
      <c r="H9" s="51" t="s">
        <v>29</v>
      </c>
      <c r="I9" s="48" t="s">
        <v>30</v>
      </c>
      <c r="J9" s="53">
        <v>45733</v>
      </c>
      <c r="K9" s="53">
        <v>46098</v>
      </c>
      <c r="L9" s="48" t="str">
        <f t="shared" ref="L9:L33" ca="1" si="0">IF(TODAY()&lt;K9,"OK","PENDENTE")</f>
        <v>PENDENTE</v>
      </c>
      <c r="M9" s="48">
        <v>202502134</v>
      </c>
      <c r="N9" s="52" t="s">
        <v>31</v>
      </c>
      <c r="O9" s="52"/>
      <c r="P9" s="48" t="s">
        <v>347</v>
      </c>
      <c r="Q9" s="48"/>
    </row>
    <row r="10" spans="2:17" s="68" customFormat="1" ht="80.099999999999994" customHeight="1" x14ac:dyDescent="0.3">
      <c r="B10" s="57">
        <v>3</v>
      </c>
      <c r="C10" s="57" t="s">
        <v>20</v>
      </c>
      <c r="D10" s="58" t="s">
        <v>587</v>
      </c>
      <c r="E10" s="60" t="s">
        <v>32</v>
      </c>
      <c r="F10" s="60" t="s">
        <v>21</v>
      </c>
      <c r="G10" s="61" t="s">
        <v>33</v>
      </c>
      <c r="H10" s="62" t="s">
        <v>34</v>
      </c>
      <c r="I10" s="57" t="s">
        <v>35</v>
      </c>
      <c r="J10" s="63">
        <v>45674</v>
      </c>
      <c r="K10" s="63">
        <v>46039</v>
      </c>
      <c r="L10" s="57" t="s">
        <v>600</v>
      </c>
      <c r="M10" s="57">
        <v>202500186</v>
      </c>
      <c r="N10" s="65" t="s">
        <v>31</v>
      </c>
      <c r="O10" s="65"/>
      <c r="P10" s="57" t="s">
        <v>347</v>
      </c>
      <c r="Q10" s="72" t="s">
        <v>523</v>
      </c>
    </row>
    <row r="11" spans="2:17" s="68" customFormat="1" ht="80.099999999999994" customHeight="1" x14ac:dyDescent="0.3">
      <c r="B11" s="57">
        <v>4</v>
      </c>
      <c r="C11" s="57" t="s">
        <v>20</v>
      </c>
      <c r="D11" s="58" t="s">
        <v>587</v>
      </c>
      <c r="E11" s="61" t="s">
        <v>36</v>
      </c>
      <c r="F11" s="60" t="s">
        <v>21</v>
      </c>
      <c r="G11" s="60" t="s">
        <v>37</v>
      </c>
      <c r="H11" s="62" t="s">
        <v>34</v>
      </c>
      <c r="I11" s="57" t="s">
        <v>35</v>
      </c>
      <c r="J11" s="63">
        <v>45673</v>
      </c>
      <c r="K11" s="63">
        <v>46038</v>
      </c>
      <c r="L11" s="57" t="s">
        <v>600</v>
      </c>
      <c r="M11" s="57">
        <v>202500285</v>
      </c>
      <c r="N11" s="65" t="s">
        <v>31</v>
      </c>
      <c r="O11" s="65"/>
      <c r="P11" s="57" t="s">
        <v>347</v>
      </c>
      <c r="Q11" s="72" t="s">
        <v>523</v>
      </c>
    </row>
    <row r="12" spans="2:17" s="68" customFormat="1" ht="80.099999999999994" customHeight="1" x14ac:dyDescent="0.3">
      <c r="B12" s="57">
        <v>5</v>
      </c>
      <c r="C12" s="57" t="s">
        <v>20</v>
      </c>
      <c r="D12" s="58" t="s">
        <v>587</v>
      </c>
      <c r="E12" s="60" t="s">
        <v>38</v>
      </c>
      <c r="F12" s="60" t="s">
        <v>21</v>
      </c>
      <c r="G12" s="60" t="s">
        <v>37</v>
      </c>
      <c r="H12" s="62" t="s">
        <v>34</v>
      </c>
      <c r="I12" s="57" t="s">
        <v>35</v>
      </c>
      <c r="J12" s="63">
        <v>45673</v>
      </c>
      <c r="K12" s="63">
        <v>46039</v>
      </c>
      <c r="L12" s="57" t="s">
        <v>600</v>
      </c>
      <c r="M12" s="57">
        <v>202500231</v>
      </c>
      <c r="N12" s="65" t="s">
        <v>31</v>
      </c>
      <c r="O12" s="65"/>
      <c r="P12" s="57" t="s">
        <v>347</v>
      </c>
      <c r="Q12" s="72" t="s">
        <v>523</v>
      </c>
    </row>
    <row r="13" spans="2:17" s="68" customFormat="1" ht="80.099999999999994" customHeight="1" x14ac:dyDescent="0.3">
      <c r="B13" s="57">
        <v>6</v>
      </c>
      <c r="C13" s="57" t="s">
        <v>20</v>
      </c>
      <c r="D13" s="58" t="s">
        <v>530</v>
      </c>
      <c r="E13" s="60" t="s">
        <v>39</v>
      </c>
      <c r="F13" s="60" t="s">
        <v>21</v>
      </c>
      <c r="G13" s="61" t="s">
        <v>40</v>
      </c>
      <c r="H13" s="62" t="s">
        <v>41</v>
      </c>
      <c r="I13" s="57" t="s">
        <v>42</v>
      </c>
      <c r="J13" s="63">
        <v>45667</v>
      </c>
      <c r="K13" s="63">
        <v>46032</v>
      </c>
      <c r="L13" s="65" t="s">
        <v>600</v>
      </c>
      <c r="M13" s="57">
        <v>202500030</v>
      </c>
      <c r="N13" s="65" t="s">
        <v>31</v>
      </c>
      <c r="O13" s="65"/>
      <c r="P13" s="57" t="s">
        <v>347</v>
      </c>
      <c r="Q13" s="72" t="s">
        <v>523</v>
      </c>
    </row>
    <row r="14" spans="2:17" ht="80.099999999999994" customHeight="1" x14ac:dyDescent="0.3">
      <c r="B14" s="48">
        <v>7</v>
      </c>
      <c r="C14" s="48" t="s">
        <v>20</v>
      </c>
      <c r="D14" s="49" t="s">
        <v>587</v>
      </c>
      <c r="E14" s="54" t="s">
        <v>43</v>
      </c>
      <c r="F14" s="50" t="s">
        <v>21</v>
      </c>
      <c r="G14" s="54" t="s">
        <v>28</v>
      </c>
      <c r="H14" s="51" t="s">
        <v>29</v>
      </c>
      <c r="I14" s="48" t="s">
        <v>30</v>
      </c>
      <c r="J14" s="53">
        <v>45737</v>
      </c>
      <c r="K14" s="53">
        <v>46102</v>
      </c>
      <c r="L14" s="48" t="str">
        <f t="shared" ca="1" si="0"/>
        <v>PENDENTE</v>
      </c>
      <c r="M14" s="48">
        <v>202502159</v>
      </c>
      <c r="N14" s="52" t="s">
        <v>31</v>
      </c>
      <c r="O14" s="52"/>
      <c r="P14" s="48" t="s">
        <v>347</v>
      </c>
      <c r="Q14" s="48"/>
    </row>
    <row r="15" spans="2:17" s="68" customFormat="1" ht="80.099999999999994" customHeight="1" x14ac:dyDescent="0.3">
      <c r="B15" s="57">
        <v>8</v>
      </c>
      <c r="C15" s="57" t="s">
        <v>20</v>
      </c>
      <c r="D15" s="58" t="s">
        <v>587</v>
      </c>
      <c r="E15" s="60" t="s">
        <v>44</v>
      </c>
      <c r="F15" s="60" t="s">
        <v>21</v>
      </c>
      <c r="G15" s="61" t="s">
        <v>33</v>
      </c>
      <c r="H15" s="62" t="s">
        <v>34</v>
      </c>
      <c r="I15" s="57" t="s">
        <v>35</v>
      </c>
      <c r="J15" s="63">
        <v>45674</v>
      </c>
      <c r="K15" s="63">
        <v>46039</v>
      </c>
      <c r="L15" s="57" t="s">
        <v>600</v>
      </c>
      <c r="M15" s="57">
        <v>202500197</v>
      </c>
      <c r="N15" s="65" t="s">
        <v>31</v>
      </c>
      <c r="O15" s="65"/>
      <c r="P15" s="57" t="s">
        <v>347</v>
      </c>
      <c r="Q15" s="72" t="s">
        <v>523</v>
      </c>
    </row>
    <row r="16" spans="2:17" ht="80.099999999999994" customHeight="1" x14ac:dyDescent="0.3">
      <c r="B16" s="48">
        <v>9</v>
      </c>
      <c r="C16" s="48" t="s">
        <v>20</v>
      </c>
      <c r="D16" s="49" t="s">
        <v>20</v>
      </c>
      <c r="E16" s="50" t="s">
        <v>45</v>
      </c>
      <c r="F16" s="50" t="s">
        <v>21</v>
      </c>
      <c r="G16" s="54" t="s">
        <v>46</v>
      </c>
      <c r="H16" s="51" t="s">
        <v>47</v>
      </c>
      <c r="I16" s="52" t="s">
        <v>48</v>
      </c>
      <c r="J16" s="53">
        <v>45771</v>
      </c>
      <c r="K16" s="53">
        <v>46136</v>
      </c>
      <c r="L16" s="48" t="str">
        <f t="shared" ca="1" si="0"/>
        <v>PENDENTE</v>
      </c>
      <c r="M16" s="48">
        <v>16024</v>
      </c>
      <c r="N16" s="48" t="s">
        <v>49</v>
      </c>
      <c r="O16" s="52"/>
      <c r="P16" s="48" t="s">
        <v>347</v>
      </c>
      <c r="Q16" s="48"/>
    </row>
    <row r="17" spans="2:17" ht="80.099999999999994" customHeight="1" x14ac:dyDescent="0.3">
      <c r="B17" s="48">
        <v>10</v>
      </c>
      <c r="C17" s="48" t="s">
        <v>20</v>
      </c>
      <c r="D17" s="49" t="s">
        <v>20</v>
      </c>
      <c r="E17" s="50" t="s">
        <v>50</v>
      </c>
      <c r="F17" s="50" t="s">
        <v>21</v>
      </c>
      <c r="G17" s="54" t="s">
        <v>46</v>
      </c>
      <c r="H17" s="51" t="s">
        <v>47</v>
      </c>
      <c r="I17" s="52" t="s">
        <v>48</v>
      </c>
      <c r="J17" s="53">
        <v>45771</v>
      </c>
      <c r="K17" s="53">
        <v>46136</v>
      </c>
      <c r="L17" s="48" t="str">
        <f t="shared" ca="1" si="0"/>
        <v>PENDENTE</v>
      </c>
      <c r="M17" s="48">
        <v>16023</v>
      </c>
      <c r="N17" s="48" t="s">
        <v>49</v>
      </c>
      <c r="O17" s="52"/>
      <c r="P17" s="48" t="s">
        <v>347</v>
      </c>
      <c r="Q17" s="48"/>
    </row>
    <row r="18" spans="2:17" ht="80.099999999999994" customHeight="1" x14ac:dyDescent="0.3">
      <c r="B18" s="48">
        <v>11</v>
      </c>
      <c r="C18" s="48" t="s">
        <v>20</v>
      </c>
      <c r="D18" s="49" t="s">
        <v>20</v>
      </c>
      <c r="E18" s="50" t="s">
        <v>51</v>
      </c>
      <c r="F18" s="50" t="s">
        <v>21</v>
      </c>
      <c r="G18" s="54" t="s">
        <v>46</v>
      </c>
      <c r="H18" s="51" t="s">
        <v>47</v>
      </c>
      <c r="I18" s="52" t="s">
        <v>48</v>
      </c>
      <c r="J18" s="53">
        <v>45771</v>
      </c>
      <c r="K18" s="53">
        <v>46136</v>
      </c>
      <c r="L18" s="48" t="str">
        <f t="shared" ca="1" si="0"/>
        <v>PENDENTE</v>
      </c>
      <c r="M18" s="48">
        <v>16022</v>
      </c>
      <c r="N18" s="48" t="s">
        <v>49</v>
      </c>
      <c r="O18" s="52"/>
      <c r="P18" s="48" t="s">
        <v>347</v>
      </c>
      <c r="Q18" s="48"/>
    </row>
    <row r="19" spans="2:17" ht="80.099999999999994" customHeight="1" x14ac:dyDescent="0.3">
      <c r="B19" s="48">
        <v>12</v>
      </c>
      <c r="C19" s="48" t="s">
        <v>20</v>
      </c>
      <c r="D19" s="49" t="s">
        <v>20</v>
      </c>
      <c r="E19" s="50" t="s">
        <v>52</v>
      </c>
      <c r="F19" s="50" t="s">
        <v>21</v>
      </c>
      <c r="G19" s="54" t="s">
        <v>46</v>
      </c>
      <c r="H19" s="51" t="s">
        <v>47</v>
      </c>
      <c r="I19" s="52" t="s">
        <v>48</v>
      </c>
      <c r="J19" s="53">
        <v>45771</v>
      </c>
      <c r="K19" s="53">
        <v>46136</v>
      </c>
      <c r="L19" s="48" t="str">
        <f t="shared" ca="1" si="0"/>
        <v>PENDENTE</v>
      </c>
      <c r="M19" s="48">
        <v>16021</v>
      </c>
      <c r="N19" s="48" t="s">
        <v>49</v>
      </c>
      <c r="O19" s="52"/>
      <c r="P19" s="48" t="s">
        <v>347</v>
      </c>
      <c r="Q19" s="48"/>
    </row>
    <row r="20" spans="2:17" ht="80.099999999999994" customHeight="1" x14ac:dyDescent="0.3">
      <c r="B20" s="48">
        <v>13</v>
      </c>
      <c r="C20" s="48" t="s">
        <v>20</v>
      </c>
      <c r="D20" s="49" t="s">
        <v>20</v>
      </c>
      <c r="E20" s="50" t="s">
        <v>53</v>
      </c>
      <c r="F20" s="50" t="s">
        <v>21</v>
      </c>
      <c r="G20" s="54" t="s">
        <v>46</v>
      </c>
      <c r="H20" s="51" t="s">
        <v>47</v>
      </c>
      <c r="I20" s="52" t="s">
        <v>48</v>
      </c>
      <c r="J20" s="53">
        <v>45771</v>
      </c>
      <c r="K20" s="53">
        <v>46136</v>
      </c>
      <c r="L20" s="48" t="str">
        <f t="shared" ca="1" si="0"/>
        <v>PENDENTE</v>
      </c>
      <c r="M20" s="48">
        <v>16020</v>
      </c>
      <c r="N20" s="48" t="s">
        <v>49</v>
      </c>
      <c r="O20" s="52"/>
      <c r="P20" s="48" t="s">
        <v>347</v>
      </c>
      <c r="Q20" s="48"/>
    </row>
    <row r="21" spans="2:17" ht="80.099999999999994" customHeight="1" x14ac:dyDescent="0.3">
      <c r="B21" s="48">
        <v>14</v>
      </c>
      <c r="C21" s="48" t="s">
        <v>20</v>
      </c>
      <c r="D21" s="49" t="s">
        <v>20</v>
      </c>
      <c r="E21" s="50" t="s">
        <v>54</v>
      </c>
      <c r="F21" s="50" t="s">
        <v>21</v>
      </c>
      <c r="G21" s="54" t="s">
        <v>46</v>
      </c>
      <c r="H21" s="51" t="s">
        <v>47</v>
      </c>
      <c r="I21" s="52" t="s">
        <v>48</v>
      </c>
      <c r="J21" s="53">
        <v>45771</v>
      </c>
      <c r="K21" s="53">
        <v>46136</v>
      </c>
      <c r="L21" s="48" t="str">
        <f t="shared" ca="1" si="0"/>
        <v>PENDENTE</v>
      </c>
      <c r="M21" s="48">
        <v>16019</v>
      </c>
      <c r="N21" s="48" t="s">
        <v>49</v>
      </c>
      <c r="O21" s="52"/>
      <c r="P21" s="48" t="s">
        <v>347</v>
      </c>
      <c r="Q21" s="48"/>
    </row>
    <row r="22" spans="2:17" s="68" customFormat="1" ht="80.099999999999994" customHeight="1" x14ac:dyDescent="0.3">
      <c r="B22" s="57">
        <v>15</v>
      </c>
      <c r="C22" s="57" t="s">
        <v>20</v>
      </c>
      <c r="D22" s="58" t="s">
        <v>530</v>
      </c>
      <c r="E22" s="57">
        <v>814090330</v>
      </c>
      <c r="F22" s="60" t="s">
        <v>21</v>
      </c>
      <c r="G22" s="61" t="s">
        <v>22</v>
      </c>
      <c r="H22" s="62" t="s">
        <v>23</v>
      </c>
      <c r="I22" s="65" t="s">
        <v>24</v>
      </c>
      <c r="J22" s="63">
        <v>45737</v>
      </c>
      <c r="K22" s="63">
        <v>46102</v>
      </c>
      <c r="L22" s="57" t="s">
        <v>600</v>
      </c>
      <c r="M22" s="57">
        <v>619</v>
      </c>
      <c r="N22" s="71" t="s">
        <v>525</v>
      </c>
      <c r="O22" s="65"/>
      <c r="P22" s="57" t="s">
        <v>347</v>
      </c>
      <c r="Q22" s="71" t="s">
        <v>523</v>
      </c>
    </row>
    <row r="23" spans="2:17" ht="80.099999999999994" customHeight="1" x14ac:dyDescent="0.3">
      <c r="B23" s="48">
        <v>16</v>
      </c>
      <c r="C23" s="48" t="s">
        <v>20</v>
      </c>
      <c r="D23" s="49" t="s">
        <v>20</v>
      </c>
      <c r="E23" s="16" t="s">
        <v>57</v>
      </c>
      <c r="F23" s="50" t="s">
        <v>21</v>
      </c>
      <c r="G23" s="54" t="s">
        <v>58</v>
      </c>
      <c r="H23" s="51" t="s">
        <v>59</v>
      </c>
      <c r="I23" s="52" t="s">
        <v>60</v>
      </c>
      <c r="J23" s="53">
        <v>45777</v>
      </c>
      <c r="K23" s="53">
        <v>46142</v>
      </c>
      <c r="L23" s="48" t="str">
        <f t="shared" ca="1" si="0"/>
        <v>PENDENTE</v>
      </c>
      <c r="M23" s="48" t="s">
        <v>61</v>
      </c>
      <c r="N23" s="52" t="s">
        <v>62</v>
      </c>
      <c r="O23" s="52"/>
      <c r="P23" s="48" t="s">
        <v>347</v>
      </c>
      <c r="Q23" s="48"/>
    </row>
    <row r="24" spans="2:17" ht="80.099999999999994" customHeight="1" x14ac:dyDescent="0.3">
      <c r="B24" s="48">
        <v>17</v>
      </c>
      <c r="C24" s="48" t="s">
        <v>20</v>
      </c>
      <c r="D24" s="49" t="s">
        <v>451</v>
      </c>
      <c r="E24" s="16" t="s">
        <v>63</v>
      </c>
      <c r="F24" s="50" t="s">
        <v>21</v>
      </c>
      <c r="G24" s="54" t="s">
        <v>58</v>
      </c>
      <c r="H24" s="51" t="s">
        <v>59</v>
      </c>
      <c r="I24" s="52" t="s">
        <v>60</v>
      </c>
      <c r="J24" s="53">
        <v>45777</v>
      </c>
      <c r="K24" s="53">
        <v>46142</v>
      </c>
      <c r="L24" s="48" t="str">
        <f t="shared" ca="1" si="0"/>
        <v>PENDENTE</v>
      </c>
      <c r="M24" s="48" t="s">
        <v>64</v>
      </c>
      <c r="N24" s="52" t="s">
        <v>62</v>
      </c>
      <c r="O24" s="52"/>
      <c r="P24" s="48" t="s">
        <v>347</v>
      </c>
      <c r="Q24" s="48"/>
    </row>
    <row r="25" spans="2:17" ht="80.099999999999994" customHeight="1" x14ac:dyDescent="0.3">
      <c r="B25" s="48">
        <v>18</v>
      </c>
      <c r="C25" s="48" t="s">
        <v>20</v>
      </c>
      <c r="D25" s="49" t="s">
        <v>20</v>
      </c>
      <c r="E25" s="15" t="s">
        <v>66</v>
      </c>
      <c r="F25" s="50" t="s">
        <v>21</v>
      </c>
      <c r="G25" s="54" t="s">
        <v>58</v>
      </c>
      <c r="H25" s="51" t="s">
        <v>41</v>
      </c>
      <c r="I25" s="52" t="s">
        <v>60</v>
      </c>
      <c r="J25" s="53">
        <v>45777</v>
      </c>
      <c r="K25" s="53">
        <v>46142</v>
      </c>
      <c r="L25" s="48" t="str">
        <f t="shared" ca="1" si="0"/>
        <v>PENDENTE</v>
      </c>
      <c r="M25" s="48" t="s">
        <v>65</v>
      </c>
      <c r="N25" s="52" t="s">
        <v>62</v>
      </c>
      <c r="O25" s="52"/>
      <c r="P25" s="48" t="s">
        <v>347</v>
      </c>
      <c r="Q25" s="48"/>
    </row>
    <row r="26" spans="2:17" ht="80.099999999999994" customHeight="1" x14ac:dyDescent="0.3">
      <c r="B26" s="48">
        <v>19</v>
      </c>
      <c r="C26" s="48" t="s">
        <v>20</v>
      </c>
      <c r="D26" s="49" t="s">
        <v>20</v>
      </c>
      <c r="E26" s="16" t="s">
        <v>67</v>
      </c>
      <c r="F26" s="50" t="s">
        <v>21</v>
      </c>
      <c r="G26" s="54" t="s">
        <v>58</v>
      </c>
      <c r="H26" s="51" t="s">
        <v>41</v>
      </c>
      <c r="I26" s="52" t="s">
        <v>60</v>
      </c>
      <c r="J26" s="53">
        <v>45777</v>
      </c>
      <c r="K26" s="53">
        <v>46142</v>
      </c>
      <c r="L26" s="48" t="str">
        <f t="shared" ca="1" si="0"/>
        <v>PENDENTE</v>
      </c>
      <c r="M26" s="48" t="s">
        <v>68</v>
      </c>
      <c r="N26" s="52" t="s">
        <v>62</v>
      </c>
      <c r="O26" s="52"/>
      <c r="P26" s="48" t="s">
        <v>347</v>
      </c>
      <c r="Q26" s="48"/>
    </row>
    <row r="27" spans="2:17" ht="80.099999999999994" customHeight="1" x14ac:dyDescent="0.3">
      <c r="B27" s="48">
        <v>20</v>
      </c>
      <c r="C27" s="48" t="s">
        <v>20</v>
      </c>
      <c r="D27" s="49" t="s">
        <v>20</v>
      </c>
      <c r="E27" s="15" t="s">
        <v>69</v>
      </c>
      <c r="F27" s="50" t="s">
        <v>21</v>
      </c>
      <c r="G27" s="54" t="s">
        <v>70</v>
      </c>
      <c r="H27" s="51" t="s">
        <v>29</v>
      </c>
      <c r="I27" s="52" t="s">
        <v>60</v>
      </c>
      <c r="J27" s="53">
        <v>45777</v>
      </c>
      <c r="K27" s="53">
        <v>46142</v>
      </c>
      <c r="L27" s="48" t="str">
        <f t="shared" ca="1" si="0"/>
        <v>PENDENTE</v>
      </c>
      <c r="M27" s="48" t="s">
        <v>71</v>
      </c>
      <c r="N27" s="52" t="s">
        <v>62</v>
      </c>
      <c r="O27" s="52"/>
      <c r="P27" s="48" t="s">
        <v>347</v>
      </c>
      <c r="Q27" s="48"/>
    </row>
    <row r="28" spans="2:17" ht="80.099999999999994" customHeight="1" x14ac:dyDescent="0.3">
      <c r="B28" s="75">
        <v>21</v>
      </c>
      <c r="C28" s="75" t="s">
        <v>20</v>
      </c>
      <c r="D28" s="76" t="s">
        <v>451</v>
      </c>
      <c r="E28" s="77" t="s">
        <v>72</v>
      </c>
      <c r="F28" s="78" t="s">
        <v>21</v>
      </c>
      <c r="G28" s="78" t="s">
        <v>73</v>
      </c>
      <c r="H28" s="79" t="s">
        <v>74</v>
      </c>
      <c r="I28" s="75" t="s">
        <v>42</v>
      </c>
      <c r="J28" s="80">
        <v>45700</v>
      </c>
      <c r="K28" s="80">
        <v>46065</v>
      </c>
      <c r="L28" s="81" t="s">
        <v>717</v>
      </c>
      <c r="M28" s="75" t="s">
        <v>75</v>
      </c>
      <c r="N28" s="81" t="s">
        <v>62</v>
      </c>
      <c r="O28" s="81"/>
      <c r="P28" s="75" t="s">
        <v>347</v>
      </c>
      <c r="Q28" s="81" t="s">
        <v>717</v>
      </c>
    </row>
    <row r="29" spans="2:17" ht="80.099999999999994" customHeight="1" x14ac:dyDescent="0.3">
      <c r="B29" s="75">
        <v>22</v>
      </c>
      <c r="C29" s="75" t="s">
        <v>20</v>
      </c>
      <c r="D29" s="76" t="s">
        <v>451</v>
      </c>
      <c r="E29" s="77" t="s">
        <v>76</v>
      </c>
      <c r="F29" s="78" t="s">
        <v>21</v>
      </c>
      <c r="G29" s="78" t="s">
        <v>73</v>
      </c>
      <c r="H29" s="79" t="s">
        <v>74</v>
      </c>
      <c r="I29" s="75" t="s">
        <v>42</v>
      </c>
      <c r="J29" s="80">
        <v>45700</v>
      </c>
      <c r="K29" s="80">
        <v>46065</v>
      </c>
      <c r="L29" s="81" t="s">
        <v>717</v>
      </c>
      <c r="M29" s="75" t="s">
        <v>77</v>
      </c>
      <c r="N29" s="81" t="s">
        <v>62</v>
      </c>
      <c r="O29" s="81"/>
      <c r="P29" s="75" t="s">
        <v>347</v>
      </c>
      <c r="Q29" s="81" t="s">
        <v>717</v>
      </c>
    </row>
    <row r="30" spans="2:17" ht="80.099999999999994" customHeight="1" x14ac:dyDescent="0.3">
      <c r="B30" s="48">
        <v>23</v>
      </c>
      <c r="C30" s="48" t="s">
        <v>20</v>
      </c>
      <c r="D30" s="49" t="s">
        <v>451</v>
      </c>
      <c r="E30" s="15" t="s">
        <v>78</v>
      </c>
      <c r="F30" s="50" t="s">
        <v>21</v>
      </c>
      <c r="G30" s="50" t="s">
        <v>73</v>
      </c>
      <c r="H30" s="51" t="s">
        <v>74</v>
      </c>
      <c r="I30" s="48" t="s">
        <v>42</v>
      </c>
      <c r="J30" s="53">
        <v>45775</v>
      </c>
      <c r="K30" s="53">
        <v>46140</v>
      </c>
      <c r="L30" s="48" t="str">
        <f t="shared" ca="1" si="0"/>
        <v>PENDENTE</v>
      </c>
      <c r="M30" s="48" t="s">
        <v>79</v>
      </c>
      <c r="N30" s="52" t="s">
        <v>62</v>
      </c>
      <c r="O30" s="52"/>
      <c r="P30" s="48" t="s">
        <v>347</v>
      </c>
      <c r="Q30" s="48"/>
    </row>
    <row r="31" spans="2:17" ht="80.099999999999994" customHeight="1" x14ac:dyDescent="0.3">
      <c r="B31" s="75">
        <v>24</v>
      </c>
      <c r="C31" s="75" t="s">
        <v>20</v>
      </c>
      <c r="D31" s="76" t="s">
        <v>451</v>
      </c>
      <c r="E31" s="82" t="s">
        <v>80</v>
      </c>
      <c r="F31" s="78" t="s">
        <v>21</v>
      </c>
      <c r="G31" s="83" t="s">
        <v>81</v>
      </c>
      <c r="H31" s="79" t="s">
        <v>82</v>
      </c>
      <c r="I31" s="75" t="s">
        <v>83</v>
      </c>
      <c r="J31" s="80">
        <v>45702</v>
      </c>
      <c r="K31" s="80">
        <v>46067</v>
      </c>
      <c r="L31" s="81" t="s">
        <v>717</v>
      </c>
      <c r="M31" s="75">
        <v>202501248</v>
      </c>
      <c r="N31" s="81" t="s">
        <v>84</v>
      </c>
      <c r="O31" s="81"/>
      <c r="P31" s="75" t="s">
        <v>347</v>
      </c>
      <c r="Q31" s="81" t="s">
        <v>717</v>
      </c>
    </row>
    <row r="32" spans="2:17" ht="80.099999999999994" customHeight="1" x14ac:dyDescent="0.3">
      <c r="B32" s="48">
        <v>25</v>
      </c>
      <c r="C32" s="48" t="s">
        <v>20</v>
      </c>
      <c r="D32" s="49" t="s">
        <v>451</v>
      </c>
      <c r="E32" s="16" t="s">
        <v>85</v>
      </c>
      <c r="F32" s="50" t="s">
        <v>21</v>
      </c>
      <c r="G32" s="54" t="s">
        <v>86</v>
      </c>
      <c r="H32" s="51" t="s">
        <v>87</v>
      </c>
      <c r="I32" s="48" t="s">
        <v>88</v>
      </c>
      <c r="J32" s="53">
        <v>45713</v>
      </c>
      <c r="K32" s="53">
        <v>46078</v>
      </c>
      <c r="L32" s="48" t="str">
        <f t="shared" ca="1" si="0"/>
        <v>PENDENTE</v>
      </c>
      <c r="M32" s="48">
        <v>202514946</v>
      </c>
      <c r="N32" s="52" t="s">
        <v>84</v>
      </c>
      <c r="O32" s="52"/>
      <c r="P32" s="48" t="s">
        <v>347</v>
      </c>
      <c r="Q32" s="52" t="s">
        <v>716</v>
      </c>
    </row>
    <row r="33" spans="2:17" ht="80.099999999999994" customHeight="1" x14ac:dyDescent="0.3">
      <c r="B33" s="48">
        <v>26</v>
      </c>
      <c r="C33" s="48" t="s">
        <v>20</v>
      </c>
      <c r="D33" s="49" t="s">
        <v>451</v>
      </c>
      <c r="E33" s="16" t="s">
        <v>89</v>
      </c>
      <c r="F33" s="50" t="s">
        <v>21</v>
      </c>
      <c r="G33" s="50" t="s">
        <v>90</v>
      </c>
      <c r="H33" s="51" t="s">
        <v>91</v>
      </c>
      <c r="I33" s="48" t="s">
        <v>92</v>
      </c>
      <c r="J33" s="53">
        <v>45713</v>
      </c>
      <c r="K33" s="53">
        <v>46078</v>
      </c>
      <c r="L33" s="48" t="str">
        <f t="shared" ca="1" si="0"/>
        <v>PENDENTE</v>
      </c>
      <c r="M33" s="48">
        <v>202514945</v>
      </c>
      <c r="N33" s="52" t="s">
        <v>84</v>
      </c>
      <c r="O33" s="52"/>
      <c r="P33" s="48" t="s">
        <v>347</v>
      </c>
      <c r="Q33" s="52" t="s">
        <v>716</v>
      </c>
    </row>
    <row r="34" spans="2:17" ht="80.099999999999994" customHeight="1" x14ac:dyDescent="0.3">
      <c r="B34" s="75">
        <v>27</v>
      </c>
      <c r="C34" s="75" t="s">
        <v>20</v>
      </c>
      <c r="D34" s="76" t="s">
        <v>451</v>
      </c>
      <c r="E34" s="82" t="s">
        <v>93</v>
      </c>
      <c r="F34" s="78" t="s">
        <v>21</v>
      </c>
      <c r="G34" s="78" t="s">
        <v>90</v>
      </c>
      <c r="H34" s="79" t="s">
        <v>91</v>
      </c>
      <c r="I34" s="75" t="s">
        <v>92</v>
      </c>
      <c r="J34" s="80">
        <v>45702</v>
      </c>
      <c r="K34" s="80">
        <v>46067</v>
      </c>
      <c r="L34" s="81" t="s">
        <v>717</v>
      </c>
      <c r="M34" s="75">
        <v>202501249</v>
      </c>
      <c r="N34" s="81" t="s">
        <v>84</v>
      </c>
      <c r="O34" s="81"/>
      <c r="P34" s="75" t="s">
        <v>347</v>
      </c>
      <c r="Q34" s="81" t="s">
        <v>717</v>
      </c>
    </row>
    <row r="35" spans="2:17" ht="80.099999999999994" customHeight="1" x14ac:dyDescent="0.3">
      <c r="B35" s="57">
        <v>28</v>
      </c>
      <c r="C35" s="57" t="s">
        <v>20</v>
      </c>
      <c r="D35" s="58" t="s">
        <v>451</v>
      </c>
      <c r="E35" s="59" t="s">
        <v>94</v>
      </c>
      <c r="F35" s="60" t="s">
        <v>21</v>
      </c>
      <c r="G35" s="60" t="s">
        <v>95</v>
      </c>
      <c r="H35" s="62" t="s">
        <v>96</v>
      </c>
      <c r="I35" s="57" t="s">
        <v>97</v>
      </c>
      <c r="J35" s="63">
        <v>45560</v>
      </c>
      <c r="K35" s="63">
        <v>45925</v>
      </c>
      <c r="L35" s="57" t="s">
        <v>600</v>
      </c>
      <c r="M35" s="57">
        <v>202411788</v>
      </c>
      <c r="N35" s="65" t="s">
        <v>527</v>
      </c>
      <c r="O35" s="65"/>
      <c r="P35" s="57" t="s">
        <v>347</v>
      </c>
      <c r="Q35" s="71" t="s">
        <v>523</v>
      </c>
    </row>
    <row r="36" spans="2:17" ht="80.099999999999994" customHeight="1" x14ac:dyDescent="0.3">
      <c r="B36" s="57">
        <v>29</v>
      </c>
      <c r="C36" s="57" t="s">
        <v>20</v>
      </c>
      <c r="D36" s="58" t="s">
        <v>451</v>
      </c>
      <c r="E36" s="59" t="s">
        <v>55</v>
      </c>
      <c r="F36" s="60" t="s">
        <v>21</v>
      </c>
      <c r="G36" s="61" t="s">
        <v>98</v>
      </c>
      <c r="H36" s="67" t="s">
        <v>123</v>
      </c>
      <c r="I36" s="65" t="s">
        <v>56</v>
      </c>
      <c r="J36" s="63">
        <v>45505</v>
      </c>
      <c r="K36" s="63">
        <v>45870</v>
      </c>
      <c r="L36" s="57" t="s">
        <v>600</v>
      </c>
      <c r="M36" s="57" t="s">
        <v>99</v>
      </c>
      <c r="N36" s="65" t="s">
        <v>124</v>
      </c>
      <c r="O36" s="65"/>
      <c r="P36" s="57" t="s">
        <v>347</v>
      </c>
      <c r="Q36" s="71" t="s">
        <v>523</v>
      </c>
    </row>
    <row r="37" spans="2:17" ht="80.099999999999994" customHeight="1" x14ac:dyDescent="0.3">
      <c r="B37" s="48">
        <v>30</v>
      </c>
      <c r="C37" s="48" t="s">
        <v>20</v>
      </c>
      <c r="D37" s="49" t="s">
        <v>451</v>
      </c>
      <c r="E37" s="16" t="s">
        <v>100</v>
      </c>
      <c r="F37" s="50" t="s">
        <v>21</v>
      </c>
      <c r="G37" s="50" t="s">
        <v>101</v>
      </c>
      <c r="H37" s="55" t="s">
        <v>102</v>
      </c>
      <c r="I37" s="48" t="s">
        <v>103</v>
      </c>
      <c r="J37" s="53">
        <v>45798</v>
      </c>
      <c r="K37" s="53">
        <v>46163</v>
      </c>
      <c r="L37" s="48" t="str">
        <f t="shared" ref="L37:L38" ca="1" si="1">IF(TODAY()&lt;K37,"OK","PENDENTE")</f>
        <v>PENDENTE</v>
      </c>
      <c r="M37" s="48" t="s">
        <v>334</v>
      </c>
      <c r="N37" s="52" t="s">
        <v>339</v>
      </c>
      <c r="O37" s="52"/>
      <c r="P37" s="48" t="s">
        <v>347</v>
      </c>
      <c r="Q37" s="52"/>
    </row>
    <row r="38" spans="2:17" ht="80.099999999999994" customHeight="1" x14ac:dyDescent="0.3">
      <c r="B38" s="48">
        <v>31</v>
      </c>
      <c r="C38" s="48" t="s">
        <v>20</v>
      </c>
      <c r="D38" s="49" t="s">
        <v>451</v>
      </c>
      <c r="E38" s="15" t="s">
        <v>104</v>
      </c>
      <c r="F38" s="50" t="s">
        <v>21</v>
      </c>
      <c r="G38" s="54" t="s">
        <v>105</v>
      </c>
      <c r="H38" s="51" t="s">
        <v>106</v>
      </c>
      <c r="I38" s="48" t="s">
        <v>107</v>
      </c>
      <c r="J38" s="53">
        <v>45798</v>
      </c>
      <c r="K38" s="53">
        <v>46163</v>
      </c>
      <c r="L38" s="48" t="str">
        <f t="shared" ca="1" si="1"/>
        <v>PENDENTE</v>
      </c>
      <c r="M38" s="48" t="s">
        <v>340</v>
      </c>
      <c r="N38" s="52" t="s">
        <v>339</v>
      </c>
      <c r="O38" s="52"/>
      <c r="P38" s="48" t="s">
        <v>347</v>
      </c>
      <c r="Q38" s="52"/>
    </row>
    <row r="39" spans="2:17" ht="80.099999999999994" customHeight="1" x14ac:dyDescent="0.3">
      <c r="B39" s="57">
        <v>32</v>
      </c>
      <c r="C39" s="57" t="s">
        <v>20</v>
      </c>
      <c r="D39" s="58" t="s">
        <v>451</v>
      </c>
      <c r="E39" s="59" t="s">
        <v>108</v>
      </c>
      <c r="F39" s="60" t="s">
        <v>21</v>
      </c>
      <c r="G39" s="61" t="s">
        <v>81</v>
      </c>
      <c r="H39" s="62" t="s">
        <v>82</v>
      </c>
      <c r="I39" s="57" t="s">
        <v>83</v>
      </c>
      <c r="J39" s="63">
        <v>45555</v>
      </c>
      <c r="K39" s="63">
        <v>45920</v>
      </c>
      <c r="L39" s="57" t="s">
        <v>600</v>
      </c>
      <c r="M39" s="57">
        <v>202411791</v>
      </c>
      <c r="N39" s="65" t="s">
        <v>527</v>
      </c>
      <c r="O39" s="65"/>
      <c r="P39" s="57" t="s">
        <v>347</v>
      </c>
      <c r="Q39" s="71" t="s">
        <v>523</v>
      </c>
    </row>
    <row r="40" spans="2:17" ht="80.099999999999994" customHeight="1" x14ac:dyDescent="0.3">
      <c r="B40" s="57">
        <v>33</v>
      </c>
      <c r="C40" s="57" t="s">
        <v>20</v>
      </c>
      <c r="D40" s="58" t="s">
        <v>451</v>
      </c>
      <c r="E40" s="59" t="s">
        <v>109</v>
      </c>
      <c r="F40" s="60" t="s">
        <v>21</v>
      </c>
      <c r="G40" s="61" t="s">
        <v>81</v>
      </c>
      <c r="H40" s="62" t="s">
        <v>110</v>
      </c>
      <c r="I40" s="57" t="s">
        <v>111</v>
      </c>
      <c r="J40" s="63">
        <v>45555</v>
      </c>
      <c r="K40" s="63">
        <v>45920</v>
      </c>
      <c r="L40" s="57" t="s">
        <v>600</v>
      </c>
      <c r="M40" s="57">
        <v>202411793</v>
      </c>
      <c r="N40" s="65" t="s">
        <v>527</v>
      </c>
      <c r="O40" s="65"/>
      <c r="P40" s="57" t="s">
        <v>347</v>
      </c>
      <c r="Q40" s="71" t="s">
        <v>523</v>
      </c>
    </row>
    <row r="41" spans="2:17" ht="80.099999999999994" customHeight="1" x14ac:dyDescent="0.3">
      <c r="B41" s="57">
        <v>34</v>
      </c>
      <c r="C41" s="57" t="s">
        <v>20</v>
      </c>
      <c r="D41" s="58" t="s">
        <v>451</v>
      </c>
      <c r="E41" s="59" t="s">
        <v>112</v>
      </c>
      <c r="F41" s="60" t="s">
        <v>21</v>
      </c>
      <c r="G41" s="61" t="s">
        <v>81</v>
      </c>
      <c r="H41" s="62" t="s">
        <v>110</v>
      </c>
      <c r="I41" s="57" t="s">
        <v>111</v>
      </c>
      <c r="J41" s="63">
        <v>45555</v>
      </c>
      <c r="K41" s="63">
        <v>45920</v>
      </c>
      <c r="L41" s="57" t="s">
        <v>600</v>
      </c>
      <c r="M41" s="57">
        <v>202411792</v>
      </c>
      <c r="N41" s="65" t="s">
        <v>527</v>
      </c>
      <c r="O41" s="65"/>
      <c r="P41" s="57" t="s">
        <v>347</v>
      </c>
      <c r="Q41" s="71" t="s">
        <v>523</v>
      </c>
    </row>
    <row r="42" spans="2:17" ht="80.099999999999994" customHeight="1" x14ac:dyDescent="0.3">
      <c r="B42" s="57">
        <v>35</v>
      </c>
      <c r="C42" s="57" t="s">
        <v>20</v>
      </c>
      <c r="D42" s="58" t="s">
        <v>451</v>
      </c>
      <c r="E42" s="59" t="s">
        <v>113</v>
      </c>
      <c r="F42" s="60" t="s">
        <v>21</v>
      </c>
      <c r="G42" s="60" t="s">
        <v>90</v>
      </c>
      <c r="H42" s="62" t="s">
        <v>114</v>
      </c>
      <c r="I42" s="65" t="s">
        <v>115</v>
      </c>
      <c r="J42" s="63">
        <v>45554</v>
      </c>
      <c r="K42" s="63">
        <v>45919</v>
      </c>
      <c r="L42" s="57" t="s">
        <v>600</v>
      </c>
      <c r="M42" s="57">
        <v>202411790</v>
      </c>
      <c r="N42" s="65" t="s">
        <v>527</v>
      </c>
      <c r="O42" s="65"/>
      <c r="P42" s="57" t="s">
        <v>347</v>
      </c>
      <c r="Q42" s="71" t="s">
        <v>523</v>
      </c>
    </row>
    <row r="43" spans="2:17" ht="80.099999999999994" customHeight="1" x14ac:dyDescent="0.3">
      <c r="B43" s="57">
        <v>36</v>
      </c>
      <c r="C43" s="57" t="s">
        <v>20</v>
      </c>
      <c r="D43" s="58" t="s">
        <v>451</v>
      </c>
      <c r="E43" s="59" t="s">
        <v>116</v>
      </c>
      <c r="F43" s="60" t="s">
        <v>21</v>
      </c>
      <c r="G43" s="60" t="s">
        <v>90</v>
      </c>
      <c r="H43" s="67" t="s">
        <v>122</v>
      </c>
      <c r="I43" s="57" t="s">
        <v>92</v>
      </c>
      <c r="J43" s="63">
        <v>45554</v>
      </c>
      <c r="K43" s="63">
        <v>45919</v>
      </c>
      <c r="L43" s="57" t="s">
        <v>600</v>
      </c>
      <c r="M43" s="57">
        <v>202411789</v>
      </c>
      <c r="N43" s="65" t="s">
        <v>527</v>
      </c>
      <c r="O43" s="65"/>
      <c r="P43" s="57" t="s">
        <v>347</v>
      </c>
      <c r="Q43" s="71" t="s">
        <v>523</v>
      </c>
    </row>
    <row r="44" spans="2:17" ht="80.099999999999994" customHeight="1" x14ac:dyDescent="0.3">
      <c r="B44" s="48">
        <v>37</v>
      </c>
      <c r="C44" s="48" t="s">
        <v>20</v>
      </c>
      <c r="D44" s="49" t="s">
        <v>451</v>
      </c>
      <c r="E44" s="16" t="s">
        <v>526</v>
      </c>
      <c r="F44" s="50" t="s">
        <v>21</v>
      </c>
      <c r="G44" s="50" t="s">
        <v>90</v>
      </c>
      <c r="H44" s="55" t="s">
        <v>91</v>
      </c>
      <c r="I44" s="48" t="s">
        <v>92</v>
      </c>
      <c r="J44" s="53">
        <v>45713</v>
      </c>
      <c r="K44" s="53">
        <v>46078</v>
      </c>
      <c r="L44" s="48" t="str">
        <f t="shared" ref="L44" ca="1" si="2">IF(TODAY()&lt;K44,"OK","PENDENTE")</f>
        <v>PENDENTE</v>
      </c>
      <c r="M44" s="48">
        <v>202514945</v>
      </c>
      <c r="N44" s="52" t="s">
        <v>527</v>
      </c>
      <c r="O44" s="52"/>
      <c r="P44" s="48" t="s">
        <v>347</v>
      </c>
      <c r="Q44" s="52" t="s">
        <v>716</v>
      </c>
    </row>
    <row r="45" spans="2:17" ht="80.099999999999994" customHeight="1" x14ac:dyDescent="0.3">
      <c r="B45" s="57">
        <v>38</v>
      </c>
      <c r="C45" s="57" t="s">
        <v>20</v>
      </c>
      <c r="D45" s="58" t="s">
        <v>451</v>
      </c>
      <c r="E45" s="59" t="s">
        <v>528</v>
      </c>
      <c r="F45" s="60" t="s">
        <v>21</v>
      </c>
      <c r="G45" s="61" t="s">
        <v>105</v>
      </c>
      <c r="H45" s="67" t="s">
        <v>106</v>
      </c>
      <c r="I45" s="57" t="s">
        <v>107</v>
      </c>
      <c r="J45" s="63">
        <v>45449</v>
      </c>
      <c r="K45" s="63">
        <v>45814</v>
      </c>
      <c r="L45" s="57" t="s">
        <v>600</v>
      </c>
      <c r="M45" s="57">
        <v>202406561</v>
      </c>
      <c r="N45" s="65" t="s">
        <v>527</v>
      </c>
      <c r="O45" s="65"/>
      <c r="P45" s="57" t="s">
        <v>347</v>
      </c>
      <c r="Q45" s="71" t="s">
        <v>523</v>
      </c>
    </row>
    <row r="46" spans="2:17" ht="80.099999999999994" customHeight="1" x14ac:dyDescent="0.3">
      <c r="B46" s="57">
        <v>39</v>
      </c>
      <c r="C46" s="57" t="s">
        <v>20</v>
      </c>
      <c r="D46" s="58" t="s">
        <v>451</v>
      </c>
      <c r="E46" s="59" t="s">
        <v>529</v>
      </c>
      <c r="F46" s="60" t="s">
        <v>21</v>
      </c>
      <c r="G46" s="61" t="s">
        <v>101</v>
      </c>
      <c r="H46" s="67" t="s">
        <v>102</v>
      </c>
      <c r="I46" s="57" t="s">
        <v>103</v>
      </c>
      <c r="J46" s="63">
        <v>45449</v>
      </c>
      <c r="K46" s="63">
        <v>45814</v>
      </c>
      <c r="L46" s="57" t="s">
        <v>600</v>
      </c>
      <c r="M46" s="57">
        <v>202406560</v>
      </c>
      <c r="N46" s="65" t="s">
        <v>527</v>
      </c>
      <c r="O46" s="65"/>
      <c r="P46" s="57" t="s">
        <v>347</v>
      </c>
      <c r="Q46" s="71" t="s">
        <v>523</v>
      </c>
    </row>
    <row r="47" spans="2:17" ht="80.099999999999994" customHeight="1" x14ac:dyDescent="0.3">
      <c r="B47" s="48">
        <v>40</v>
      </c>
      <c r="C47" s="48" t="s">
        <v>20</v>
      </c>
      <c r="D47" s="49" t="s">
        <v>451</v>
      </c>
      <c r="E47" s="15" t="s">
        <v>122</v>
      </c>
      <c r="F47" s="50" t="s">
        <v>21</v>
      </c>
      <c r="G47" s="50" t="s">
        <v>117</v>
      </c>
      <c r="H47" s="55" t="s">
        <v>118</v>
      </c>
      <c r="I47" s="48" t="s">
        <v>119</v>
      </c>
      <c r="J47" s="53">
        <v>45881</v>
      </c>
      <c r="K47" s="53">
        <v>46246</v>
      </c>
      <c r="L47" s="48" t="str">
        <f t="shared" ref="L47:L48" ca="1" si="3">IF(TODAY()&lt;K47,"OK","PENDENTE")</f>
        <v>OK</v>
      </c>
      <c r="M47" s="48" t="s">
        <v>531</v>
      </c>
      <c r="N47" s="48" t="s">
        <v>120</v>
      </c>
      <c r="O47" s="52"/>
      <c r="P47" s="48" t="s">
        <v>347</v>
      </c>
      <c r="Q47" s="52"/>
    </row>
    <row r="48" spans="2:17" ht="80.099999999999994" customHeight="1" x14ac:dyDescent="0.3">
      <c r="B48" s="48">
        <v>41</v>
      </c>
      <c r="C48" s="48" t="s">
        <v>20</v>
      </c>
      <c r="D48" s="49" t="s">
        <v>451</v>
      </c>
      <c r="E48" s="15" t="s">
        <v>122</v>
      </c>
      <c r="F48" s="50" t="s">
        <v>21</v>
      </c>
      <c r="G48" s="50" t="s">
        <v>117</v>
      </c>
      <c r="H48" s="55" t="s">
        <v>118</v>
      </c>
      <c r="I48" s="48" t="s">
        <v>119</v>
      </c>
      <c r="J48" s="53">
        <v>45523</v>
      </c>
      <c r="K48" s="53">
        <v>46984</v>
      </c>
      <c r="L48" s="48" t="str">
        <f t="shared" ca="1" si="3"/>
        <v>OK</v>
      </c>
      <c r="M48" s="48" t="s">
        <v>121</v>
      </c>
      <c r="N48" s="48" t="s">
        <v>120</v>
      </c>
      <c r="O48" s="52"/>
      <c r="P48" s="48" t="s">
        <v>347</v>
      </c>
      <c r="Q48" s="48"/>
    </row>
    <row r="49" spans="2:17" ht="80.099999999999994" customHeight="1" x14ac:dyDescent="0.3">
      <c r="B49" s="48">
        <v>42</v>
      </c>
      <c r="C49" s="5" t="s">
        <v>125</v>
      </c>
      <c r="D49" s="2" t="s">
        <v>341</v>
      </c>
      <c r="E49" s="16" t="s">
        <v>454</v>
      </c>
      <c r="F49" s="6" t="s">
        <v>21</v>
      </c>
      <c r="G49" s="12" t="s">
        <v>126</v>
      </c>
      <c r="H49" s="7" t="s">
        <v>455</v>
      </c>
      <c r="I49" s="5" t="s">
        <v>42</v>
      </c>
      <c r="J49" s="13">
        <v>45834</v>
      </c>
      <c r="K49" s="13">
        <v>46199</v>
      </c>
      <c r="L49" s="48" t="str">
        <f ca="1">IF(TODAY()&lt;K49,"OK","PENDENTE")</f>
        <v>OK</v>
      </c>
      <c r="M49" s="5" t="s">
        <v>456</v>
      </c>
      <c r="N49" s="5" t="s">
        <v>128</v>
      </c>
      <c r="O49" s="17" t="s">
        <v>364</v>
      </c>
      <c r="P49" s="5" t="s">
        <v>26</v>
      </c>
      <c r="Q49" s="5"/>
    </row>
    <row r="50" spans="2:17" ht="80.099999999999994" customHeight="1" x14ac:dyDescent="0.3">
      <c r="B50" s="48">
        <v>43</v>
      </c>
      <c r="C50" s="5" t="s">
        <v>125</v>
      </c>
      <c r="D50" s="2" t="s">
        <v>341</v>
      </c>
      <c r="E50" s="15" t="s">
        <v>457</v>
      </c>
      <c r="F50" s="6" t="s">
        <v>21</v>
      </c>
      <c r="G50" s="12" t="s">
        <v>126</v>
      </c>
      <c r="H50" s="21" t="s">
        <v>243</v>
      </c>
      <c r="I50" s="5" t="s">
        <v>42</v>
      </c>
      <c r="J50" s="13">
        <v>45854</v>
      </c>
      <c r="K50" s="13">
        <v>46219</v>
      </c>
      <c r="L50" s="48" t="str">
        <f ca="1">IF(TODAY()&lt;K50,"OK","PENDENTE")</f>
        <v>OK</v>
      </c>
      <c r="M50" s="5" t="s">
        <v>458</v>
      </c>
      <c r="N50" s="5" t="s">
        <v>128</v>
      </c>
      <c r="O50" s="17" t="s">
        <v>364</v>
      </c>
      <c r="P50" s="5" t="s">
        <v>26</v>
      </c>
      <c r="Q50" s="5"/>
    </row>
    <row r="51" spans="2:17" ht="80.099999999999994" customHeight="1" x14ac:dyDescent="0.3">
      <c r="B51" s="48">
        <v>44</v>
      </c>
      <c r="C51" s="5" t="s">
        <v>125</v>
      </c>
      <c r="D51" s="2" t="s">
        <v>341</v>
      </c>
      <c r="E51" s="15" t="s">
        <v>129</v>
      </c>
      <c r="F51" s="6" t="s">
        <v>21</v>
      </c>
      <c r="G51" s="6" t="s">
        <v>130</v>
      </c>
      <c r="H51" s="7" t="s">
        <v>131</v>
      </c>
      <c r="I51" s="5" t="s">
        <v>42</v>
      </c>
      <c r="J51" s="13">
        <v>45762</v>
      </c>
      <c r="K51" s="13">
        <v>46127</v>
      </c>
      <c r="L51" s="48" t="str">
        <f ca="1">IF(TODAY()&lt;K51,"OK","PENDENTE")</f>
        <v>PENDENTE</v>
      </c>
      <c r="M51" s="5" t="s">
        <v>132</v>
      </c>
      <c r="N51" s="5" t="s">
        <v>128</v>
      </c>
      <c r="O51" s="14"/>
      <c r="P51" s="5" t="s">
        <v>26</v>
      </c>
      <c r="Q51" s="5"/>
    </row>
    <row r="52" spans="2:17" ht="80.099999999999994" customHeight="1" x14ac:dyDescent="0.3">
      <c r="B52" s="57">
        <v>45</v>
      </c>
      <c r="C52" s="57" t="s">
        <v>473</v>
      </c>
      <c r="D52" s="58" t="s">
        <v>341</v>
      </c>
      <c r="E52" s="59" t="s">
        <v>133</v>
      </c>
      <c r="F52" s="60" t="s">
        <v>21</v>
      </c>
      <c r="G52" s="60" t="s">
        <v>134</v>
      </c>
      <c r="H52" s="62" t="s">
        <v>135</v>
      </c>
      <c r="I52" s="57" t="s">
        <v>42</v>
      </c>
      <c r="J52" s="63">
        <v>45632</v>
      </c>
      <c r="K52" s="63">
        <v>45997</v>
      </c>
      <c r="L52" s="57" t="s">
        <v>600</v>
      </c>
      <c r="M52" s="57" t="s">
        <v>136</v>
      </c>
      <c r="N52" s="57" t="s">
        <v>128</v>
      </c>
      <c r="O52" s="69" t="s">
        <v>174</v>
      </c>
      <c r="P52" s="57" t="s">
        <v>26</v>
      </c>
      <c r="Q52" s="71" t="s">
        <v>523</v>
      </c>
    </row>
    <row r="53" spans="2:17" s="74" customFormat="1" ht="80.099999999999994" customHeight="1" x14ac:dyDescent="0.3">
      <c r="B53" s="48">
        <v>46</v>
      </c>
      <c r="C53" s="48" t="s">
        <v>473</v>
      </c>
      <c r="D53" s="49" t="s">
        <v>341</v>
      </c>
      <c r="E53" s="15" t="s">
        <v>684</v>
      </c>
      <c r="F53" s="50" t="s">
        <v>21</v>
      </c>
      <c r="G53" s="50" t="s">
        <v>137</v>
      </c>
      <c r="H53" s="51" t="s">
        <v>138</v>
      </c>
      <c r="I53" s="48" t="s">
        <v>139</v>
      </c>
      <c r="J53" s="53">
        <v>46041</v>
      </c>
      <c r="K53" s="53">
        <v>46406</v>
      </c>
      <c r="L53" s="52" t="s">
        <v>667</v>
      </c>
      <c r="M53" s="48" t="s">
        <v>685</v>
      </c>
      <c r="N53" s="48" t="s">
        <v>128</v>
      </c>
      <c r="O53" s="73" t="s">
        <v>173</v>
      </c>
      <c r="P53" s="48" t="s">
        <v>26</v>
      </c>
      <c r="Q53" s="52"/>
    </row>
    <row r="54" spans="2:17" s="74" customFormat="1" ht="80.099999999999994" customHeight="1" x14ac:dyDescent="0.3">
      <c r="B54" s="48">
        <v>47</v>
      </c>
      <c r="C54" s="48" t="s">
        <v>473</v>
      </c>
      <c r="D54" s="49" t="s">
        <v>341</v>
      </c>
      <c r="E54" s="15" t="s">
        <v>686</v>
      </c>
      <c r="F54" s="50" t="s">
        <v>21</v>
      </c>
      <c r="G54" s="50" t="s">
        <v>137</v>
      </c>
      <c r="H54" s="51" t="s">
        <v>138</v>
      </c>
      <c r="I54" s="52" t="s">
        <v>140</v>
      </c>
      <c r="J54" s="53">
        <v>46041</v>
      </c>
      <c r="K54" s="53">
        <v>46406</v>
      </c>
      <c r="L54" s="52" t="s">
        <v>667</v>
      </c>
      <c r="M54" s="48" t="s">
        <v>687</v>
      </c>
      <c r="N54" s="48" t="s">
        <v>128</v>
      </c>
      <c r="O54" s="73" t="s">
        <v>173</v>
      </c>
      <c r="P54" s="48" t="s">
        <v>26</v>
      </c>
      <c r="Q54" s="52"/>
    </row>
    <row r="55" spans="2:17" s="74" customFormat="1" ht="80.099999999999994" customHeight="1" x14ac:dyDescent="0.3">
      <c r="B55" s="48">
        <v>48</v>
      </c>
      <c r="C55" s="48" t="s">
        <v>473</v>
      </c>
      <c r="D55" s="49" t="s">
        <v>341</v>
      </c>
      <c r="E55" s="15" t="s">
        <v>688</v>
      </c>
      <c r="F55" s="50" t="s">
        <v>21</v>
      </c>
      <c r="G55" s="50" t="s">
        <v>137</v>
      </c>
      <c r="H55" s="51" t="s">
        <v>138</v>
      </c>
      <c r="I55" s="52" t="s">
        <v>142</v>
      </c>
      <c r="J55" s="53">
        <v>46041</v>
      </c>
      <c r="K55" s="53">
        <v>46406</v>
      </c>
      <c r="L55" s="52" t="s">
        <v>667</v>
      </c>
      <c r="M55" s="48" t="s">
        <v>689</v>
      </c>
      <c r="N55" s="48" t="s">
        <v>128</v>
      </c>
      <c r="O55" s="73" t="s">
        <v>173</v>
      </c>
      <c r="P55" s="48" t="s">
        <v>26</v>
      </c>
      <c r="Q55" s="52"/>
    </row>
    <row r="56" spans="2:17" ht="80.099999999999994" customHeight="1" x14ac:dyDescent="0.3">
      <c r="B56" s="57">
        <v>49</v>
      </c>
      <c r="C56" s="57" t="s">
        <v>473</v>
      </c>
      <c r="D56" s="58" t="s">
        <v>341</v>
      </c>
      <c r="E56" s="66" t="s">
        <v>145</v>
      </c>
      <c r="F56" s="60" t="s">
        <v>21</v>
      </c>
      <c r="G56" s="60" t="s">
        <v>137</v>
      </c>
      <c r="H56" s="62" t="s">
        <v>146</v>
      </c>
      <c r="I56" s="57" t="s">
        <v>147</v>
      </c>
      <c r="J56" s="63">
        <v>45541</v>
      </c>
      <c r="K56" s="63">
        <v>45906</v>
      </c>
      <c r="L56" s="57" t="s">
        <v>600</v>
      </c>
      <c r="M56" s="57" t="s">
        <v>148</v>
      </c>
      <c r="N56" s="57" t="s">
        <v>128</v>
      </c>
      <c r="O56" s="64" t="s">
        <v>173</v>
      </c>
      <c r="P56" s="57" t="s">
        <v>26</v>
      </c>
      <c r="Q56" s="71" t="s">
        <v>523</v>
      </c>
    </row>
    <row r="57" spans="2:17" ht="80.099999999999994" customHeight="1" x14ac:dyDescent="0.3">
      <c r="B57" s="48">
        <v>50</v>
      </c>
      <c r="C57" s="5" t="s">
        <v>125</v>
      </c>
      <c r="D57" s="2" t="s">
        <v>341</v>
      </c>
      <c r="E57" s="15" t="s">
        <v>461</v>
      </c>
      <c r="F57" s="6" t="s">
        <v>21</v>
      </c>
      <c r="G57" s="12" t="s">
        <v>155</v>
      </c>
      <c r="H57" s="21" t="s">
        <v>243</v>
      </c>
      <c r="I57" s="5" t="s">
        <v>462</v>
      </c>
      <c r="J57" s="13">
        <v>45790</v>
      </c>
      <c r="K57" s="13">
        <v>46155</v>
      </c>
      <c r="L57" s="48" t="str">
        <f t="shared" ref="L57:L64" ca="1" si="4">IF(TODAY()&lt;K57,"OK","PENDENTE")</f>
        <v>PENDENTE</v>
      </c>
      <c r="M57" s="5" t="s">
        <v>463</v>
      </c>
      <c r="N57" s="5" t="s">
        <v>128</v>
      </c>
      <c r="O57" s="14"/>
      <c r="P57" s="5" t="s">
        <v>26</v>
      </c>
      <c r="Q57" s="14"/>
    </row>
    <row r="58" spans="2:17" ht="80.099999999999994" customHeight="1" x14ac:dyDescent="0.3">
      <c r="B58" s="48">
        <v>51</v>
      </c>
      <c r="C58" s="5" t="s">
        <v>125</v>
      </c>
      <c r="D58" s="2" t="s">
        <v>341</v>
      </c>
      <c r="E58" s="15" t="s">
        <v>149</v>
      </c>
      <c r="F58" s="6" t="s">
        <v>21</v>
      </c>
      <c r="G58" s="12" t="s">
        <v>150</v>
      </c>
      <c r="H58" s="7" t="s">
        <v>151</v>
      </c>
      <c r="I58" s="5" t="s">
        <v>141</v>
      </c>
      <c r="J58" s="13">
        <v>45756</v>
      </c>
      <c r="K58" s="13">
        <v>46121</v>
      </c>
      <c r="L58" s="48" t="str">
        <f t="shared" ca="1" si="4"/>
        <v>PENDENTE</v>
      </c>
      <c r="M58" s="5" t="s">
        <v>152</v>
      </c>
      <c r="N58" s="5" t="s">
        <v>128</v>
      </c>
      <c r="O58" s="17" t="s">
        <v>171</v>
      </c>
      <c r="P58" s="5" t="s">
        <v>26</v>
      </c>
      <c r="Q58" s="5"/>
    </row>
    <row r="59" spans="2:17" ht="80.099999999999994" customHeight="1" x14ac:dyDescent="0.3">
      <c r="B59" s="48">
        <v>52</v>
      </c>
      <c r="C59" s="5" t="s">
        <v>125</v>
      </c>
      <c r="D59" s="2" t="s">
        <v>341</v>
      </c>
      <c r="E59" s="15" t="s">
        <v>153</v>
      </c>
      <c r="F59" s="6" t="s">
        <v>21</v>
      </c>
      <c r="G59" s="12" t="s">
        <v>150</v>
      </c>
      <c r="H59" s="7" t="s">
        <v>151</v>
      </c>
      <c r="I59" s="5" t="s">
        <v>141</v>
      </c>
      <c r="J59" s="13">
        <v>45775</v>
      </c>
      <c r="K59" s="13">
        <v>46140</v>
      </c>
      <c r="L59" s="48" t="str">
        <f t="shared" ca="1" si="4"/>
        <v>PENDENTE</v>
      </c>
      <c r="M59" s="5" t="s">
        <v>154</v>
      </c>
      <c r="N59" s="5" t="s">
        <v>128</v>
      </c>
      <c r="O59" s="17" t="s">
        <v>171</v>
      </c>
      <c r="P59" s="5" t="s">
        <v>26</v>
      </c>
      <c r="Q59" s="5"/>
    </row>
    <row r="60" spans="2:17" ht="80.099999999999994" customHeight="1" x14ac:dyDescent="0.3">
      <c r="B60" s="48">
        <v>53</v>
      </c>
      <c r="C60" s="5" t="s">
        <v>125</v>
      </c>
      <c r="D60" s="2" t="s">
        <v>341</v>
      </c>
      <c r="E60" s="16" t="s">
        <v>464</v>
      </c>
      <c r="F60" s="6" t="s">
        <v>21</v>
      </c>
      <c r="G60" s="12" t="s">
        <v>155</v>
      </c>
      <c r="H60" s="21" t="s">
        <v>243</v>
      </c>
      <c r="I60" s="14" t="s">
        <v>462</v>
      </c>
      <c r="J60" s="13">
        <v>45790</v>
      </c>
      <c r="K60" s="13">
        <v>46155</v>
      </c>
      <c r="L60" s="48" t="str">
        <f t="shared" ca="1" si="4"/>
        <v>PENDENTE</v>
      </c>
      <c r="M60" s="5" t="s">
        <v>465</v>
      </c>
      <c r="N60" s="5" t="s">
        <v>128</v>
      </c>
      <c r="O60" s="14"/>
      <c r="P60" s="5" t="s">
        <v>26</v>
      </c>
      <c r="Q60" s="5"/>
    </row>
    <row r="61" spans="2:17" ht="80.099999999999994" customHeight="1" x14ac:dyDescent="0.3">
      <c r="B61" s="48">
        <v>54</v>
      </c>
      <c r="C61" s="5" t="s">
        <v>125</v>
      </c>
      <c r="D61" s="2" t="s">
        <v>341</v>
      </c>
      <c r="E61" s="16" t="s">
        <v>466</v>
      </c>
      <c r="F61" s="6" t="s">
        <v>21</v>
      </c>
      <c r="G61" s="12" t="s">
        <v>155</v>
      </c>
      <c r="H61" s="21" t="s">
        <v>243</v>
      </c>
      <c r="I61" s="5" t="s">
        <v>462</v>
      </c>
      <c r="J61" s="13">
        <v>45791</v>
      </c>
      <c r="K61" s="13">
        <v>46156</v>
      </c>
      <c r="L61" s="48" t="str">
        <f t="shared" ca="1" si="4"/>
        <v>PENDENTE</v>
      </c>
      <c r="M61" s="5" t="s">
        <v>467</v>
      </c>
      <c r="N61" s="5" t="s">
        <v>128</v>
      </c>
      <c r="O61" s="14"/>
      <c r="P61" s="5" t="s">
        <v>26</v>
      </c>
      <c r="Q61" s="5"/>
    </row>
    <row r="62" spans="2:17" ht="80.099999999999994" customHeight="1" x14ac:dyDescent="0.3">
      <c r="B62" s="48">
        <v>55</v>
      </c>
      <c r="C62" s="5" t="s">
        <v>125</v>
      </c>
      <c r="D62" s="2" t="s">
        <v>341</v>
      </c>
      <c r="E62" s="15" t="s">
        <v>468</v>
      </c>
      <c r="F62" s="6" t="s">
        <v>21</v>
      </c>
      <c r="G62" s="12" t="s">
        <v>155</v>
      </c>
      <c r="H62" s="21" t="s">
        <v>243</v>
      </c>
      <c r="I62" s="14" t="s">
        <v>462</v>
      </c>
      <c r="J62" s="13">
        <v>45791</v>
      </c>
      <c r="K62" s="13">
        <v>46156</v>
      </c>
      <c r="L62" s="48" t="str">
        <f t="shared" ca="1" si="4"/>
        <v>PENDENTE</v>
      </c>
      <c r="M62" s="5" t="s">
        <v>469</v>
      </c>
      <c r="N62" s="5" t="s">
        <v>128</v>
      </c>
      <c r="O62" s="14"/>
      <c r="P62" s="5" t="s">
        <v>26</v>
      </c>
      <c r="Q62" s="5"/>
    </row>
    <row r="63" spans="2:17" ht="80.099999999999994" customHeight="1" x14ac:dyDescent="0.3">
      <c r="B63" s="48">
        <v>56</v>
      </c>
      <c r="C63" s="5" t="s">
        <v>125</v>
      </c>
      <c r="D63" s="2" t="s">
        <v>341</v>
      </c>
      <c r="E63" s="15" t="s">
        <v>470</v>
      </c>
      <c r="F63" s="6" t="s">
        <v>21</v>
      </c>
      <c r="G63" s="12" t="s">
        <v>155</v>
      </c>
      <c r="H63" s="21" t="s">
        <v>243</v>
      </c>
      <c r="I63" s="5" t="s">
        <v>462</v>
      </c>
      <c r="J63" s="13">
        <v>45791</v>
      </c>
      <c r="K63" s="13">
        <v>46156</v>
      </c>
      <c r="L63" s="48" t="str">
        <f t="shared" ca="1" si="4"/>
        <v>PENDENTE</v>
      </c>
      <c r="M63" s="5" t="s">
        <v>471</v>
      </c>
      <c r="N63" s="5" t="s">
        <v>128</v>
      </c>
      <c r="O63" s="14"/>
      <c r="P63" s="5" t="s">
        <v>26</v>
      </c>
      <c r="Q63" s="5"/>
    </row>
    <row r="64" spans="2:17" ht="80.099999999999994" customHeight="1" x14ac:dyDescent="0.3">
      <c r="B64" s="48">
        <v>57</v>
      </c>
      <c r="C64" s="5" t="s">
        <v>125</v>
      </c>
      <c r="D64" s="2" t="s">
        <v>341</v>
      </c>
      <c r="E64" s="15" t="s">
        <v>342</v>
      </c>
      <c r="F64" s="6" t="s">
        <v>21</v>
      </c>
      <c r="G64" s="12" t="s">
        <v>472</v>
      </c>
      <c r="H64" s="7" t="s">
        <v>343</v>
      </c>
      <c r="I64" s="5" t="s">
        <v>344</v>
      </c>
      <c r="J64" s="13">
        <v>45789</v>
      </c>
      <c r="K64" s="13">
        <v>46154</v>
      </c>
      <c r="L64" s="48" t="str">
        <f t="shared" ca="1" si="4"/>
        <v>PENDENTE</v>
      </c>
      <c r="M64" s="5" t="s">
        <v>345</v>
      </c>
      <c r="N64" s="14" t="s">
        <v>346</v>
      </c>
      <c r="O64" s="14"/>
      <c r="P64" s="5" t="s">
        <v>26</v>
      </c>
      <c r="Q64" s="5"/>
    </row>
    <row r="65" spans="2:17" ht="80.099999999999994" customHeight="1" x14ac:dyDescent="0.3">
      <c r="B65" s="57">
        <v>58</v>
      </c>
      <c r="C65" s="57" t="s">
        <v>125</v>
      </c>
      <c r="D65" s="58" t="s">
        <v>341</v>
      </c>
      <c r="E65" s="66" t="s">
        <v>161</v>
      </c>
      <c r="F65" s="60" t="s">
        <v>21</v>
      </c>
      <c r="G65" s="60" t="s">
        <v>162</v>
      </c>
      <c r="H65" s="62" t="s">
        <v>163</v>
      </c>
      <c r="I65" s="57" t="s">
        <v>141</v>
      </c>
      <c r="J65" s="63">
        <v>45656</v>
      </c>
      <c r="K65" s="63">
        <v>46021</v>
      </c>
      <c r="L65" s="57" t="s">
        <v>600</v>
      </c>
      <c r="M65" s="57" t="s">
        <v>164</v>
      </c>
      <c r="N65" s="57" t="s">
        <v>128</v>
      </c>
      <c r="O65" s="64" t="s">
        <v>172</v>
      </c>
      <c r="P65" s="57" t="s">
        <v>26</v>
      </c>
      <c r="Q65" s="71" t="s">
        <v>523</v>
      </c>
    </row>
    <row r="66" spans="2:17" s="74" customFormat="1" ht="80.099999999999994" customHeight="1" x14ac:dyDescent="0.3">
      <c r="B66" s="48">
        <v>59</v>
      </c>
      <c r="C66" s="48" t="s">
        <v>125</v>
      </c>
      <c r="D66" s="49" t="s">
        <v>341</v>
      </c>
      <c r="E66" s="15" t="s">
        <v>165</v>
      </c>
      <c r="F66" s="50" t="s">
        <v>21</v>
      </c>
      <c r="G66" s="50" t="s">
        <v>162</v>
      </c>
      <c r="H66" s="51" t="s">
        <v>163</v>
      </c>
      <c r="I66" s="48" t="s">
        <v>141</v>
      </c>
      <c r="J66" s="53">
        <v>46041</v>
      </c>
      <c r="K66" s="53">
        <v>46406</v>
      </c>
      <c r="L66" s="52" t="s">
        <v>667</v>
      </c>
      <c r="M66" s="48" t="s">
        <v>691</v>
      </c>
      <c r="N66" s="48" t="s">
        <v>128</v>
      </c>
      <c r="O66" s="73" t="s">
        <v>172</v>
      </c>
      <c r="P66" s="48" t="s">
        <v>26</v>
      </c>
      <c r="Q66" s="52"/>
    </row>
    <row r="67" spans="2:17" ht="80.099999999999994" customHeight="1" x14ac:dyDescent="0.3">
      <c r="B67" s="57">
        <v>60</v>
      </c>
      <c r="C67" s="57" t="s">
        <v>125</v>
      </c>
      <c r="D67" s="58" t="s">
        <v>341</v>
      </c>
      <c r="E67" s="66" t="s">
        <v>166</v>
      </c>
      <c r="F67" s="60" t="s">
        <v>21</v>
      </c>
      <c r="G67" s="60" t="s">
        <v>162</v>
      </c>
      <c r="H67" s="62" t="s">
        <v>163</v>
      </c>
      <c r="I67" s="57" t="s">
        <v>141</v>
      </c>
      <c r="J67" s="63">
        <v>45636</v>
      </c>
      <c r="K67" s="63">
        <v>46001</v>
      </c>
      <c r="L67" s="57" t="s">
        <v>600</v>
      </c>
      <c r="M67" s="57" t="s">
        <v>167</v>
      </c>
      <c r="N67" s="57" t="s">
        <v>128</v>
      </c>
      <c r="O67" s="64" t="s">
        <v>172</v>
      </c>
      <c r="P67" s="57" t="s">
        <v>26</v>
      </c>
      <c r="Q67" s="71" t="s">
        <v>523</v>
      </c>
    </row>
    <row r="68" spans="2:17" ht="80.099999999999994" customHeight="1" x14ac:dyDescent="0.3">
      <c r="B68" s="48">
        <v>61</v>
      </c>
      <c r="C68" s="5" t="s">
        <v>125</v>
      </c>
      <c r="D68" s="2" t="s">
        <v>575</v>
      </c>
      <c r="E68" s="15" t="s">
        <v>168</v>
      </c>
      <c r="F68" s="6" t="s">
        <v>21</v>
      </c>
      <c r="G68" s="6" t="s">
        <v>162</v>
      </c>
      <c r="H68" s="7" t="s">
        <v>169</v>
      </c>
      <c r="I68" s="5" t="s">
        <v>119</v>
      </c>
      <c r="J68" s="13">
        <v>45763</v>
      </c>
      <c r="K68" s="13">
        <v>46128</v>
      </c>
      <c r="L68" s="48" t="str">
        <f t="shared" ref="L68:L99" ca="1" si="5">IF(TODAY()&lt;K68,"OK","PENDENTE")</f>
        <v>PENDENTE</v>
      </c>
      <c r="M68" s="5" t="s">
        <v>170</v>
      </c>
      <c r="N68" s="5" t="s">
        <v>128</v>
      </c>
      <c r="O68" s="17" t="s">
        <v>172</v>
      </c>
      <c r="P68" s="5" t="s">
        <v>26</v>
      </c>
      <c r="Q68" s="5"/>
    </row>
    <row r="69" spans="2:17" ht="80.099999999999994" customHeight="1" x14ac:dyDescent="0.3">
      <c r="B69" s="48">
        <v>62</v>
      </c>
      <c r="C69" s="5" t="s">
        <v>508</v>
      </c>
      <c r="D69" s="2" t="s">
        <v>509</v>
      </c>
      <c r="E69" s="15" t="s">
        <v>177</v>
      </c>
      <c r="F69" s="6" t="s">
        <v>21</v>
      </c>
      <c r="G69" s="12" t="s">
        <v>160</v>
      </c>
      <c r="H69" s="7" t="s">
        <v>178</v>
      </c>
      <c r="I69" s="14" t="s">
        <v>179</v>
      </c>
      <c r="J69" s="13">
        <v>45884</v>
      </c>
      <c r="K69" s="13">
        <v>46249</v>
      </c>
      <c r="L69" s="48" t="str">
        <f t="shared" ca="1" si="5"/>
        <v>OK</v>
      </c>
      <c r="M69" s="5" t="s">
        <v>180</v>
      </c>
      <c r="N69" s="14" t="s">
        <v>181</v>
      </c>
      <c r="O69" s="18" t="s">
        <v>182</v>
      </c>
      <c r="P69" s="5" t="s">
        <v>26</v>
      </c>
      <c r="Q69" s="5"/>
    </row>
    <row r="70" spans="2:17" ht="80.099999999999994" customHeight="1" x14ac:dyDescent="0.3">
      <c r="B70" s="48">
        <v>63</v>
      </c>
      <c r="C70" s="5" t="s">
        <v>508</v>
      </c>
      <c r="D70" s="2" t="s">
        <v>509</v>
      </c>
      <c r="E70" s="15" t="s">
        <v>183</v>
      </c>
      <c r="F70" s="6" t="s">
        <v>21</v>
      </c>
      <c r="G70" s="12" t="s">
        <v>160</v>
      </c>
      <c r="H70" s="7" t="s">
        <v>178</v>
      </c>
      <c r="I70" s="14" t="s">
        <v>179</v>
      </c>
      <c r="J70" s="13">
        <v>45884</v>
      </c>
      <c r="K70" s="13">
        <v>46249</v>
      </c>
      <c r="L70" s="48" t="str">
        <f t="shared" ca="1" si="5"/>
        <v>OK</v>
      </c>
      <c r="M70" s="5" t="s">
        <v>184</v>
      </c>
      <c r="N70" s="14" t="s">
        <v>181</v>
      </c>
      <c r="O70" s="18" t="s">
        <v>182</v>
      </c>
      <c r="P70" s="5" t="s">
        <v>26</v>
      </c>
      <c r="Q70" s="5"/>
    </row>
    <row r="71" spans="2:17" ht="80.099999999999994" customHeight="1" x14ac:dyDescent="0.3">
      <c r="B71" s="48">
        <v>64</v>
      </c>
      <c r="C71" s="5" t="s">
        <v>508</v>
      </c>
      <c r="D71" s="2" t="s">
        <v>509</v>
      </c>
      <c r="E71" s="15" t="s">
        <v>185</v>
      </c>
      <c r="F71" s="6" t="s">
        <v>21</v>
      </c>
      <c r="G71" s="12" t="s">
        <v>160</v>
      </c>
      <c r="H71" s="7" t="s">
        <v>178</v>
      </c>
      <c r="I71" s="14" t="s">
        <v>179</v>
      </c>
      <c r="J71" s="13">
        <v>45884</v>
      </c>
      <c r="K71" s="13">
        <v>46249</v>
      </c>
      <c r="L71" s="48" t="str">
        <f t="shared" ca="1" si="5"/>
        <v>OK</v>
      </c>
      <c r="M71" s="5" t="s">
        <v>186</v>
      </c>
      <c r="N71" s="14" t="s">
        <v>181</v>
      </c>
      <c r="O71" s="18" t="s">
        <v>182</v>
      </c>
      <c r="P71" s="5" t="s">
        <v>26</v>
      </c>
      <c r="Q71" s="5"/>
    </row>
    <row r="72" spans="2:17" ht="80.099999999999994" customHeight="1" x14ac:dyDescent="0.3">
      <c r="B72" s="48">
        <v>65</v>
      </c>
      <c r="C72" s="5" t="s">
        <v>508</v>
      </c>
      <c r="D72" s="2" t="s">
        <v>509</v>
      </c>
      <c r="E72" s="15" t="s">
        <v>187</v>
      </c>
      <c r="F72" s="6" t="s">
        <v>21</v>
      </c>
      <c r="G72" s="12" t="s">
        <v>188</v>
      </c>
      <c r="H72" s="7" t="s">
        <v>189</v>
      </c>
      <c r="I72" s="5" t="s">
        <v>190</v>
      </c>
      <c r="J72" s="13">
        <v>45884</v>
      </c>
      <c r="K72" s="13">
        <v>46249</v>
      </c>
      <c r="L72" s="48" t="str">
        <f t="shared" ca="1" si="5"/>
        <v>OK</v>
      </c>
      <c r="M72" s="5" t="s">
        <v>191</v>
      </c>
      <c r="N72" s="14" t="s">
        <v>181</v>
      </c>
      <c r="O72" s="19" t="s">
        <v>358</v>
      </c>
      <c r="P72" s="5" t="s">
        <v>26</v>
      </c>
      <c r="Q72" s="5"/>
    </row>
    <row r="73" spans="2:17" ht="80.099999999999994" customHeight="1" x14ac:dyDescent="0.3">
      <c r="B73" s="48">
        <v>66</v>
      </c>
      <c r="C73" s="5" t="s">
        <v>508</v>
      </c>
      <c r="D73" s="2" t="s">
        <v>509</v>
      </c>
      <c r="E73" s="15" t="s">
        <v>192</v>
      </c>
      <c r="F73" s="6" t="s">
        <v>21</v>
      </c>
      <c r="G73" s="12" t="s">
        <v>188</v>
      </c>
      <c r="H73" s="7" t="s">
        <v>189</v>
      </c>
      <c r="I73" s="5" t="s">
        <v>190</v>
      </c>
      <c r="J73" s="13">
        <v>45884</v>
      </c>
      <c r="K73" s="13">
        <v>46249</v>
      </c>
      <c r="L73" s="48" t="str">
        <f t="shared" ca="1" si="5"/>
        <v>OK</v>
      </c>
      <c r="M73" s="5" t="s">
        <v>195</v>
      </c>
      <c r="N73" s="14" t="s">
        <v>181</v>
      </c>
      <c r="O73" s="19" t="s">
        <v>358</v>
      </c>
      <c r="P73" s="5" t="s">
        <v>26</v>
      </c>
      <c r="Q73" s="5"/>
    </row>
    <row r="74" spans="2:17" ht="80.099999999999994" customHeight="1" x14ac:dyDescent="0.3">
      <c r="B74" s="48">
        <v>67</v>
      </c>
      <c r="C74" s="5" t="s">
        <v>508</v>
      </c>
      <c r="D74" s="2" t="s">
        <v>509</v>
      </c>
      <c r="E74" s="15" t="s">
        <v>193</v>
      </c>
      <c r="F74" s="6" t="s">
        <v>21</v>
      </c>
      <c r="G74" s="12" t="s">
        <v>188</v>
      </c>
      <c r="H74" s="7" t="s">
        <v>189</v>
      </c>
      <c r="I74" s="5" t="s">
        <v>190</v>
      </c>
      <c r="J74" s="13">
        <v>45884</v>
      </c>
      <c r="K74" s="13">
        <v>46249</v>
      </c>
      <c r="L74" s="48" t="str">
        <f t="shared" ca="1" si="5"/>
        <v>OK</v>
      </c>
      <c r="M74" s="5" t="s">
        <v>196</v>
      </c>
      <c r="N74" s="14" t="s">
        <v>181</v>
      </c>
      <c r="O74" s="19" t="s">
        <v>358</v>
      </c>
      <c r="P74" s="5" t="s">
        <v>26</v>
      </c>
      <c r="Q74" s="5"/>
    </row>
    <row r="75" spans="2:17" ht="80.099999999999994" customHeight="1" x14ac:dyDescent="0.3">
      <c r="B75" s="48">
        <v>68</v>
      </c>
      <c r="C75" s="5" t="s">
        <v>508</v>
      </c>
      <c r="D75" s="2" t="s">
        <v>509</v>
      </c>
      <c r="E75" s="15" t="s">
        <v>194</v>
      </c>
      <c r="F75" s="6" t="s">
        <v>21</v>
      </c>
      <c r="G75" s="12" t="s">
        <v>188</v>
      </c>
      <c r="H75" s="7" t="s">
        <v>189</v>
      </c>
      <c r="I75" s="5" t="s">
        <v>190</v>
      </c>
      <c r="J75" s="13">
        <v>45884</v>
      </c>
      <c r="K75" s="13">
        <v>46249</v>
      </c>
      <c r="L75" s="48" t="str">
        <f t="shared" ca="1" si="5"/>
        <v>OK</v>
      </c>
      <c r="M75" s="5" t="s">
        <v>197</v>
      </c>
      <c r="N75" s="14" t="s">
        <v>181</v>
      </c>
      <c r="O75" s="19" t="s">
        <v>358</v>
      </c>
      <c r="P75" s="5" t="s">
        <v>26</v>
      </c>
      <c r="Q75" s="5"/>
    </row>
    <row r="76" spans="2:17" ht="80.099999999999994" customHeight="1" x14ac:dyDescent="0.3">
      <c r="B76" s="48">
        <v>69</v>
      </c>
      <c r="C76" s="5" t="s">
        <v>508</v>
      </c>
      <c r="D76" s="2" t="s">
        <v>509</v>
      </c>
      <c r="E76" s="15" t="s">
        <v>198</v>
      </c>
      <c r="F76" s="6" t="s">
        <v>21</v>
      </c>
      <c r="G76" s="12" t="s">
        <v>199</v>
      </c>
      <c r="H76" s="7" t="s">
        <v>189</v>
      </c>
      <c r="I76" s="5" t="s">
        <v>200</v>
      </c>
      <c r="J76" s="13">
        <v>45884</v>
      </c>
      <c r="K76" s="13">
        <v>46249</v>
      </c>
      <c r="L76" s="48" t="str">
        <f t="shared" ca="1" si="5"/>
        <v>OK</v>
      </c>
      <c r="M76" s="5" t="s">
        <v>201</v>
      </c>
      <c r="N76" s="14" t="s">
        <v>181</v>
      </c>
      <c r="O76" s="17" t="s">
        <v>545</v>
      </c>
      <c r="P76" s="5" t="s">
        <v>26</v>
      </c>
      <c r="Q76" s="5"/>
    </row>
    <row r="77" spans="2:17" ht="80.099999999999994" customHeight="1" x14ac:dyDescent="0.3">
      <c r="B77" s="48">
        <v>70</v>
      </c>
      <c r="C77" s="5" t="s">
        <v>508</v>
      </c>
      <c r="D77" s="2" t="s">
        <v>509</v>
      </c>
      <c r="E77" s="15" t="s">
        <v>202</v>
      </c>
      <c r="F77" s="6" t="s">
        <v>21</v>
      </c>
      <c r="G77" s="12" t="s">
        <v>199</v>
      </c>
      <c r="H77" s="7" t="s">
        <v>189</v>
      </c>
      <c r="I77" s="5" t="s">
        <v>200</v>
      </c>
      <c r="J77" s="13">
        <v>45884</v>
      </c>
      <c r="K77" s="13">
        <v>46249</v>
      </c>
      <c r="L77" s="48" t="str">
        <f t="shared" ca="1" si="5"/>
        <v>OK</v>
      </c>
      <c r="M77" s="5" t="s">
        <v>203</v>
      </c>
      <c r="N77" s="14" t="s">
        <v>181</v>
      </c>
      <c r="O77" s="17" t="s">
        <v>545</v>
      </c>
      <c r="P77" s="5" t="s">
        <v>26</v>
      </c>
      <c r="Q77" s="5"/>
    </row>
    <row r="78" spans="2:17" ht="80.099999999999994" customHeight="1" x14ac:dyDescent="0.3">
      <c r="B78" s="48">
        <v>71</v>
      </c>
      <c r="C78" s="5" t="s">
        <v>176</v>
      </c>
      <c r="D78" s="2" t="s">
        <v>204</v>
      </c>
      <c r="E78" s="15" t="s">
        <v>205</v>
      </c>
      <c r="F78" s="6" t="s">
        <v>21</v>
      </c>
      <c r="G78" s="12" t="s">
        <v>206</v>
      </c>
      <c r="H78" s="7" t="s">
        <v>207</v>
      </c>
      <c r="I78" s="5" t="s">
        <v>208</v>
      </c>
      <c r="J78" s="13">
        <v>45758</v>
      </c>
      <c r="K78" s="13">
        <v>46123</v>
      </c>
      <c r="L78" s="48" t="str">
        <f t="shared" ca="1" si="5"/>
        <v>PENDENTE</v>
      </c>
      <c r="M78" s="5" t="s">
        <v>209</v>
      </c>
      <c r="N78" s="14" t="s">
        <v>210</v>
      </c>
      <c r="O78" s="18" t="s">
        <v>211</v>
      </c>
      <c r="P78" s="5" t="s">
        <v>26</v>
      </c>
      <c r="Q78" s="5"/>
    </row>
    <row r="79" spans="2:17" ht="80.099999999999994" customHeight="1" x14ac:dyDescent="0.3">
      <c r="B79" s="48">
        <v>72</v>
      </c>
      <c r="C79" s="5" t="s">
        <v>508</v>
      </c>
      <c r="D79" s="2" t="s">
        <v>509</v>
      </c>
      <c r="E79" s="15" t="s">
        <v>212</v>
      </c>
      <c r="F79" s="6" t="s">
        <v>21</v>
      </c>
      <c r="G79" s="12" t="s">
        <v>213</v>
      </c>
      <c r="H79" s="7" t="s">
        <v>178</v>
      </c>
      <c r="I79" s="5" t="s">
        <v>214</v>
      </c>
      <c r="J79" s="13">
        <v>45895</v>
      </c>
      <c r="K79" s="13">
        <v>46260</v>
      </c>
      <c r="L79" s="48" t="str">
        <f t="shared" ca="1" si="5"/>
        <v>OK</v>
      </c>
      <c r="M79" s="5" t="s">
        <v>215</v>
      </c>
      <c r="N79" s="14" t="s">
        <v>181</v>
      </c>
      <c r="O79" s="17" t="s">
        <v>216</v>
      </c>
      <c r="P79" s="5" t="s">
        <v>26</v>
      </c>
      <c r="Q79" s="5"/>
    </row>
    <row r="80" spans="2:17" ht="80.099999999999994" customHeight="1" x14ac:dyDescent="0.3">
      <c r="B80" s="48">
        <v>73</v>
      </c>
      <c r="C80" s="5" t="s">
        <v>508</v>
      </c>
      <c r="D80" s="2" t="s">
        <v>509</v>
      </c>
      <c r="E80" s="15" t="s">
        <v>217</v>
      </c>
      <c r="F80" s="6" t="s">
        <v>21</v>
      </c>
      <c r="G80" s="12" t="s">
        <v>213</v>
      </c>
      <c r="H80" s="7" t="s">
        <v>178</v>
      </c>
      <c r="I80" s="5" t="s">
        <v>214</v>
      </c>
      <c r="J80" s="13">
        <v>45895</v>
      </c>
      <c r="K80" s="13">
        <v>46260</v>
      </c>
      <c r="L80" s="48" t="str">
        <f t="shared" ca="1" si="5"/>
        <v>OK</v>
      </c>
      <c r="M80" s="5" t="s">
        <v>218</v>
      </c>
      <c r="N80" s="14" t="s">
        <v>181</v>
      </c>
      <c r="O80" s="17" t="s">
        <v>216</v>
      </c>
      <c r="P80" s="5" t="s">
        <v>26</v>
      </c>
      <c r="Q80" s="5"/>
    </row>
    <row r="81" spans="2:17" ht="80.099999999999994" customHeight="1" x14ac:dyDescent="0.3">
      <c r="B81" s="48">
        <v>74</v>
      </c>
      <c r="C81" s="5" t="s">
        <v>508</v>
      </c>
      <c r="D81" s="2" t="s">
        <v>509</v>
      </c>
      <c r="E81" s="15" t="s">
        <v>219</v>
      </c>
      <c r="F81" s="6" t="s">
        <v>21</v>
      </c>
      <c r="G81" s="12" t="s">
        <v>213</v>
      </c>
      <c r="H81" s="7" t="s">
        <v>178</v>
      </c>
      <c r="I81" s="5" t="s">
        <v>214</v>
      </c>
      <c r="J81" s="13">
        <v>45895</v>
      </c>
      <c r="K81" s="13">
        <v>46260</v>
      </c>
      <c r="L81" s="48" t="str">
        <f t="shared" ca="1" si="5"/>
        <v>OK</v>
      </c>
      <c r="M81" s="5" t="s">
        <v>220</v>
      </c>
      <c r="N81" s="14" t="s">
        <v>181</v>
      </c>
      <c r="O81" s="17" t="s">
        <v>216</v>
      </c>
      <c r="P81" s="5" t="s">
        <v>26</v>
      </c>
      <c r="Q81" s="5"/>
    </row>
    <row r="82" spans="2:17" ht="80.099999999999994" customHeight="1" x14ac:dyDescent="0.3">
      <c r="B82" s="48">
        <v>75</v>
      </c>
      <c r="C82" s="5" t="s">
        <v>508</v>
      </c>
      <c r="D82" s="2" t="s">
        <v>509</v>
      </c>
      <c r="E82" s="15" t="s">
        <v>221</v>
      </c>
      <c r="F82" s="6" t="s">
        <v>21</v>
      </c>
      <c r="G82" s="12" t="s">
        <v>213</v>
      </c>
      <c r="H82" s="7" t="s">
        <v>178</v>
      </c>
      <c r="I82" s="5" t="s">
        <v>214</v>
      </c>
      <c r="J82" s="13">
        <v>45895</v>
      </c>
      <c r="K82" s="13">
        <v>46260</v>
      </c>
      <c r="L82" s="48" t="str">
        <f t="shared" ca="1" si="5"/>
        <v>OK</v>
      </c>
      <c r="M82" s="5" t="s">
        <v>222</v>
      </c>
      <c r="N82" s="14" t="s">
        <v>181</v>
      </c>
      <c r="O82" s="17" t="s">
        <v>216</v>
      </c>
      <c r="P82" s="5" t="s">
        <v>26</v>
      </c>
      <c r="Q82" s="5"/>
    </row>
    <row r="83" spans="2:17" ht="80.099999999999994" customHeight="1" x14ac:dyDescent="0.3">
      <c r="B83" s="48">
        <v>76</v>
      </c>
      <c r="C83" s="5" t="s">
        <v>508</v>
      </c>
      <c r="D83" s="2" t="s">
        <v>509</v>
      </c>
      <c r="E83" s="15" t="s">
        <v>223</v>
      </c>
      <c r="F83" s="6" t="s">
        <v>21</v>
      </c>
      <c r="G83" s="12" t="s">
        <v>224</v>
      </c>
      <c r="H83" s="7" t="s">
        <v>156</v>
      </c>
      <c r="I83" s="20">
        <v>600003</v>
      </c>
      <c r="J83" s="13">
        <v>45895</v>
      </c>
      <c r="K83" s="13">
        <v>46260</v>
      </c>
      <c r="L83" s="48" t="str">
        <f t="shared" ca="1" si="5"/>
        <v>OK</v>
      </c>
      <c r="M83" s="5" t="s">
        <v>225</v>
      </c>
      <c r="N83" s="14" t="s">
        <v>181</v>
      </c>
      <c r="O83" s="17" t="s">
        <v>226</v>
      </c>
      <c r="P83" s="5" t="s">
        <v>26</v>
      </c>
      <c r="Q83" s="5"/>
    </row>
    <row r="84" spans="2:17" ht="80.099999999999994" customHeight="1" x14ac:dyDescent="0.3">
      <c r="B84" s="48">
        <v>77</v>
      </c>
      <c r="C84" s="5" t="s">
        <v>508</v>
      </c>
      <c r="D84" s="2" t="s">
        <v>509</v>
      </c>
      <c r="E84" s="15" t="s">
        <v>227</v>
      </c>
      <c r="F84" s="6" t="s">
        <v>21</v>
      </c>
      <c r="G84" s="12" t="s">
        <v>224</v>
      </c>
      <c r="H84" s="7" t="s">
        <v>156</v>
      </c>
      <c r="I84" s="20">
        <v>600003</v>
      </c>
      <c r="J84" s="13">
        <v>45895</v>
      </c>
      <c r="K84" s="13">
        <v>46260</v>
      </c>
      <c r="L84" s="48" t="str">
        <f t="shared" ca="1" si="5"/>
        <v>OK</v>
      </c>
      <c r="M84" s="5" t="s">
        <v>228</v>
      </c>
      <c r="N84" s="14" t="s">
        <v>181</v>
      </c>
      <c r="O84" s="17" t="s">
        <v>226</v>
      </c>
      <c r="P84" s="5" t="s">
        <v>26</v>
      </c>
      <c r="Q84" s="5"/>
    </row>
    <row r="85" spans="2:17" ht="80.099999999999994" customHeight="1" x14ac:dyDescent="0.3">
      <c r="B85" s="48">
        <v>78</v>
      </c>
      <c r="C85" s="5" t="s">
        <v>473</v>
      </c>
      <c r="D85" s="2" t="s">
        <v>509</v>
      </c>
      <c r="E85" s="16" t="s">
        <v>72</v>
      </c>
      <c r="F85" s="6" t="s">
        <v>21</v>
      </c>
      <c r="G85" s="12" t="s">
        <v>73</v>
      </c>
      <c r="H85" s="21" t="s">
        <v>243</v>
      </c>
      <c r="I85" s="5" t="s">
        <v>229</v>
      </c>
      <c r="J85" s="13">
        <v>45933</v>
      </c>
      <c r="K85" s="13">
        <v>46298</v>
      </c>
      <c r="L85" s="48" t="str">
        <f t="shared" ca="1" si="5"/>
        <v>OK</v>
      </c>
      <c r="M85" s="5" t="s">
        <v>230</v>
      </c>
      <c r="N85" s="14" t="s">
        <v>231</v>
      </c>
      <c r="O85" s="17" t="s">
        <v>364</v>
      </c>
      <c r="P85" s="5" t="s">
        <v>26</v>
      </c>
      <c r="Q85" s="5"/>
    </row>
    <row r="86" spans="2:17" ht="80.099999999999994" customHeight="1" x14ac:dyDescent="0.3">
      <c r="B86" s="48">
        <v>79</v>
      </c>
      <c r="C86" s="5" t="s">
        <v>473</v>
      </c>
      <c r="D86" s="2" t="s">
        <v>509</v>
      </c>
      <c r="E86" s="16" t="s">
        <v>232</v>
      </c>
      <c r="F86" s="6" t="s">
        <v>21</v>
      </c>
      <c r="G86" s="6" t="s">
        <v>73</v>
      </c>
      <c r="H86" s="21" t="s">
        <v>243</v>
      </c>
      <c r="I86" s="5" t="s">
        <v>229</v>
      </c>
      <c r="J86" s="13">
        <v>45933</v>
      </c>
      <c r="K86" s="13">
        <v>46298</v>
      </c>
      <c r="L86" s="48" t="str">
        <f t="shared" ca="1" si="5"/>
        <v>OK</v>
      </c>
      <c r="M86" s="5" t="s">
        <v>233</v>
      </c>
      <c r="N86" s="14" t="s">
        <v>231</v>
      </c>
      <c r="O86" s="17" t="s">
        <v>364</v>
      </c>
      <c r="P86" s="5" t="s">
        <v>26</v>
      </c>
      <c r="Q86" s="5"/>
    </row>
    <row r="87" spans="2:17" ht="80.099999999999994" customHeight="1" x14ac:dyDescent="0.3">
      <c r="B87" s="48">
        <v>80</v>
      </c>
      <c r="C87" s="5" t="s">
        <v>473</v>
      </c>
      <c r="D87" s="2" t="s">
        <v>509</v>
      </c>
      <c r="E87" s="16" t="s">
        <v>234</v>
      </c>
      <c r="F87" s="6" t="s">
        <v>21</v>
      </c>
      <c r="G87" s="6" t="s">
        <v>73</v>
      </c>
      <c r="H87" s="21" t="s">
        <v>243</v>
      </c>
      <c r="I87" s="5" t="s">
        <v>229</v>
      </c>
      <c r="J87" s="13">
        <v>45933</v>
      </c>
      <c r="K87" s="13">
        <v>46298</v>
      </c>
      <c r="L87" s="48" t="str">
        <f t="shared" ca="1" si="5"/>
        <v>OK</v>
      </c>
      <c r="M87" s="5" t="s">
        <v>235</v>
      </c>
      <c r="N87" s="14" t="s">
        <v>231</v>
      </c>
      <c r="O87" s="17" t="s">
        <v>364</v>
      </c>
      <c r="P87" s="5" t="s">
        <v>26</v>
      </c>
      <c r="Q87" s="5"/>
    </row>
    <row r="88" spans="2:17" s="68" customFormat="1" ht="80.099999999999994" customHeight="1" x14ac:dyDescent="0.3">
      <c r="B88" s="48">
        <v>81</v>
      </c>
      <c r="C88" s="48" t="s">
        <v>473</v>
      </c>
      <c r="D88" s="49" t="s">
        <v>509</v>
      </c>
      <c r="E88" s="16" t="s">
        <v>236</v>
      </c>
      <c r="F88" s="50" t="s">
        <v>21</v>
      </c>
      <c r="G88" s="50" t="s">
        <v>73</v>
      </c>
      <c r="H88" s="55" t="s">
        <v>243</v>
      </c>
      <c r="I88" s="48" t="s">
        <v>229</v>
      </c>
      <c r="J88" s="53">
        <v>45933</v>
      </c>
      <c r="K88" s="53">
        <v>46298</v>
      </c>
      <c r="L88" s="48" t="str">
        <f t="shared" ca="1" si="5"/>
        <v>OK</v>
      </c>
      <c r="M88" s="48" t="s">
        <v>237</v>
      </c>
      <c r="N88" s="52" t="s">
        <v>231</v>
      </c>
      <c r="O88" s="17" t="s">
        <v>364</v>
      </c>
      <c r="P88" s="48" t="s">
        <v>26</v>
      </c>
      <c r="Q88" s="52"/>
    </row>
    <row r="89" spans="2:17" ht="80.099999999999994" customHeight="1" x14ac:dyDescent="0.3">
      <c r="B89" s="48">
        <v>82</v>
      </c>
      <c r="C89" s="5" t="s">
        <v>473</v>
      </c>
      <c r="D89" s="2" t="s">
        <v>509</v>
      </c>
      <c r="E89" s="15" t="s">
        <v>238</v>
      </c>
      <c r="F89" s="6" t="s">
        <v>21</v>
      </c>
      <c r="G89" s="6" t="s">
        <v>73</v>
      </c>
      <c r="H89" s="21" t="s">
        <v>243</v>
      </c>
      <c r="I89" s="5" t="s">
        <v>229</v>
      </c>
      <c r="J89" s="13">
        <v>45933</v>
      </c>
      <c r="K89" s="13">
        <v>46298</v>
      </c>
      <c r="L89" s="48" t="str">
        <f t="shared" ca="1" si="5"/>
        <v>OK</v>
      </c>
      <c r="M89" s="5" t="s">
        <v>239</v>
      </c>
      <c r="N89" s="14" t="s">
        <v>231</v>
      </c>
      <c r="O89" s="17" t="s">
        <v>364</v>
      </c>
      <c r="P89" s="5" t="s">
        <v>26</v>
      </c>
      <c r="Q89" s="5"/>
    </row>
    <row r="90" spans="2:17" ht="80.099999999999994" customHeight="1" x14ac:dyDescent="0.3">
      <c r="B90" s="48">
        <v>83</v>
      </c>
      <c r="C90" s="5" t="s">
        <v>473</v>
      </c>
      <c r="D90" s="2" t="s">
        <v>509</v>
      </c>
      <c r="E90" s="15" t="s">
        <v>240</v>
      </c>
      <c r="F90" s="6" t="s">
        <v>21</v>
      </c>
      <c r="G90" s="6" t="s">
        <v>73</v>
      </c>
      <c r="H90" s="21" t="s">
        <v>243</v>
      </c>
      <c r="I90" s="5" t="s">
        <v>229</v>
      </c>
      <c r="J90" s="13">
        <v>45933</v>
      </c>
      <c r="K90" s="13">
        <v>46298</v>
      </c>
      <c r="L90" s="48" t="str">
        <f t="shared" ca="1" si="5"/>
        <v>OK</v>
      </c>
      <c r="M90" s="5" t="s">
        <v>241</v>
      </c>
      <c r="N90" s="14" t="s">
        <v>231</v>
      </c>
      <c r="O90" s="17" t="s">
        <v>364</v>
      </c>
      <c r="P90" s="5" t="s">
        <v>26</v>
      </c>
      <c r="Q90" s="5"/>
    </row>
    <row r="91" spans="2:17" s="68" customFormat="1" ht="80.099999999999994" customHeight="1" x14ac:dyDescent="0.3">
      <c r="B91" s="48">
        <v>84</v>
      </c>
      <c r="C91" s="48" t="s">
        <v>473</v>
      </c>
      <c r="D91" s="49" t="s">
        <v>509</v>
      </c>
      <c r="E91" s="15" t="s">
        <v>242</v>
      </c>
      <c r="F91" s="50" t="s">
        <v>21</v>
      </c>
      <c r="G91" s="50" t="s">
        <v>73</v>
      </c>
      <c r="H91" s="55" t="s">
        <v>243</v>
      </c>
      <c r="I91" s="55" t="s">
        <v>243</v>
      </c>
      <c r="J91" s="53">
        <v>45933</v>
      </c>
      <c r="K91" s="53">
        <v>46298</v>
      </c>
      <c r="L91" s="48" t="str">
        <f t="shared" ca="1" si="5"/>
        <v>OK</v>
      </c>
      <c r="M91" s="48" t="s">
        <v>244</v>
      </c>
      <c r="N91" s="52" t="s">
        <v>231</v>
      </c>
      <c r="O91" s="17" t="s">
        <v>364</v>
      </c>
      <c r="P91" s="48" t="s">
        <v>26</v>
      </c>
      <c r="Q91" s="52"/>
    </row>
    <row r="92" spans="2:17" ht="80.099999999999994" customHeight="1" x14ac:dyDescent="0.3">
      <c r="B92" s="48">
        <v>85</v>
      </c>
      <c r="C92" s="5" t="s">
        <v>473</v>
      </c>
      <c r="D92" s="2" t="s">
        <v>509</v>
      </c>
      <c r="E92" s="15" t="s">
        <v>245</v>
      </c>
      <c r="F92" s="6" t="s">
        <v>21</v>
      </c>
      <c r="G92" s="6" t="s">
        <v>73</v>
      </c>
      <c r="H92" s="21" t="s">
        <v>243</v>
      </c>
      <c r="I92" s="5" t="s">
        <v>229</v>
      </c>
      <c r="J92" s="13">
        <v>45933</v>
      </c>
      <c r="K92" s="13">
        <v>46298</v>
      </c>
      <c r="L92" s="48" t="str">
        <f t="shared" ca="1" si="5"/>
        <v>OK</v>
      </c>
      <c r="M92" s="5" t="s">
        <v>246</v>
      </c>
      <c r="N92" s="14" t="s">
        <v>231</v>
      </c>
      <c r="O92" s="17" t="s">
        <v>364</v>
      </c>
      <c r="P92" s="5" t="s">
        <v>26</v>
      </c>
      <c r="Q92" s="5"/>
    </row>
    <row r="93" spans="2:17" s="68" customFormat="1" ht="80.099999999999994" customHeight="1" x14ac:dyDescent="0.3">
      <c r="B93" s="48">
        <v>86</v>
      </c>
      <c r="C93" s="48" t="s">
        <v>473</v>
      </c>
      <c r="D93" s="49" t="s">
        <v>509</v>
      </c>
      <c r="E93" s="15" t="s">
        <v>247</v>
      </c>
      <c r="F93" s="50" t="s">
        <v>21</v>
      </c>
      <c r="G93" s="50" t="s">
        <v>73</v>
      </c>
      <c r="H93" s="55" t="s">
        <v>243</v>
      </c>
      <c r="I93" s="48" t="s">
        <v>229</v>
      </c>
      <c r="J93" s="53">
        <v>45933</v>
      </c>
      <c r="K93" s="53">
        <v>46298</v>
      </c>
      <c r="L93" s="48" t="str">
        <f t="shared" ca="1" si="5"/>
        <v>OK</v>
      </c>
      <c r="M93" s="48" t="s">
        <v>248</v>
      </c>
      <c r="N93" s="52" t="s">
        <v>231</v>
      </c>
      <c r="O93" s="17" t="s">
        <v>364</v>
      </c>
      <c r="P93" s="48" t="s">
        <v>26</v>
      </c>
      <c r="Q93" s="52"/>
    </row>
    <row r="94" spans="2:17" s="68" customFormat="1" ht="80.099999999999994" customHeight="1" x14ac:dyDescent="0.3">
      <c r="B94" s="48">
        <v>87</v>
      </c>
      <c r="C94" s="48" t="s">
        <v>473</v>
      </c>
      <c r="D94" s="49" t="s">
        <v>509</v>
      </c>
      <c r="E94" s="15" t="s">
        <v>249</v>
      </c>
      <c r="F94" s="50" t="s">
        <v>21</v>
      </c>
      <c r="G94" s="50" t="s">
        <v>73</v>
      </c>
      <c r="H94" s="55" t="s">
        <v>243</v>
      </c>
      <c r="I94" s="55" t="s">
        <v>243</v>
      </c>
      <c r="J94" s="53">
        <v>45933</v>
      </c>
      <c r="K94" s="53">
        <v>46298</v>
      </c>
      <c r="L94" s="48" t="str">
        <f t="shared" ca="1" si="5"/>
        <v>OK</v>
      </c>
      <c r="M94" s="48" t="s">
        <v>250</v>
      </c>
      <c r="N94" s="52" t="s">
        <v>231</v>
      </c>
      <c r="O94" s="17" t="s">
        <v>364</v>
      </c>
      <c r="P94" s="48" t="s">
        <v>26</v>
      </c>
      <c r="Q94" s="52"/>
    </row>
    <row r="95" spans="2:17" ht="80.099999999999994" customHeight="1" x14ac:dyDescent="0.3">
      <c r="B95" s="48">
        <v>88</v>
      </c>
      <c r="C95" s="5" t="s">
        <v>125</v>
      </c>
      <c r="D95" s="2" t="s">
        <v>341</v>
      </c>
      <c r="E95" s="15" t="s">
        <v>459</v>
      </c>
      <c r="F95" s="6" t="s">
        <v>21</v>
      </c>
      <c r="G95" s="12" t="s">
        <v>126</v>
      </c>
      <c r="H95" s="21" t="s">
        <v>243</v>
      </c>
      <c r="I95" s="21" t="s">
        <v>42</v>
      </c>
      <c r="J95" s="13">
        <v>45854</v>
      </c>
      <c r="K95" s="13">
        <v>46219</v>
      </c>
      <c r="L95" s="48" t="str">
        <f t="shared" ca="1" si="5"/>
        <v>OK</v>
      </c>
      <c r="M95" s="5" t="s">
        <v>460</v>
      </c>
      <c r="N95" s="14" t="s">
        <v>128</v>
      </c>
      <c r="O95" s="17" t="s">
        <v>364</v>
      </c>
      <c r="P95" s="5" t="s">
        <v>26</v>
      </c>
      <c r="Q95" s="5"/>
    </row>
    <row r="96" spans="2:17" ht="80.099999999999994" customHeight="1" x14ac:dyDescent="0.3">
      <c r="B96" s="48">
        <v>89</v>
      </c>
      <c r="C96" s="48" t="s">
        <v>473</v>
      </c>
      <c r="D96" s="49" t="s">
        <v>509</v>
      </c>
      <c r="E96" s="15" t="s">
        <v>251</v>
      </c>
      <c r="F96" s="50" t="s">
        <v>21</v>
      </c>
      <c r="G96" s="54" t="s">
        <v>73</v>
      </c>
      <c r="H96" s="55" t="s">
        <v>243</v>
      </c>
      <c r="I96" s="55" t="s">
        <v>350</v>
      </c>
      <c r="J96" s="53">
        <v>45933</v>
      </c>
      <c r="K96" s="53">
        <v>46298</v>
      </c>
      <c r="L96" s="48" t="str">
        <f t="shared" ca="1" si="5"/>
        <v>OK</v>
      </c>
      <c r="M96" s="48" t="s">
        <v>252</v>
      </c>
      <c r="N96" s="52" t="s">
        <v>231</v>
      </c>
      <c r="O96" s="17" t="s">
        <v>364</v>
      </c>
      <c r="P96" s="48" t="s">
        <v>26</v>
      </c>
      <c r="Q96" s="52"/>
    </row>
    <row r="97" spans="2:17" s="68" customFormat="1" ht="80.099999999999994" customHeight="1" x14ac:dyDescent="0.3">
      <c r="B97" s="48">
        <v>90</v>
      </c>
      <c r="C97" s="48" t="s">
        <v>473</v>
      </c>
      <c r="D97" s="49" t="s">
        <v>509</v>
      </c>
      <c r="E97" s="15" t="s">
        <v>253</v>
      </c>
      <c r="F97" s="50" t="s">
        <v>21</v>
      </c>
      <c r="G97" s="50" t="s">
        <v>73</v>
      </c>
      <c r="H97" s="55" t="s">
        <v>243</v>
      </c>
      <c r="I97" s="55" t="s">
        <v>243</v>
      </c>
      <c r="J97" s="53">
        <v>45933</v>
      </c>
      <c r="K97" s="53">
        <v>46298</v>
      </c>
      <c r="L97" s="48" t="str">
        <f t="shared" ca="1" si="5"/>
        <v>OK</v>
      </c>
      <c r="M97" s="48" t="s">
        <v>254</v>
      </c>
      <c r="N97" s="52" t="s">
        <v>231</v>
      </c>
      <c r="O97" s="17" t="s">
        <v>364</v>
      </c>
      <c r="P97" s="48" t="s">
        <v>26</v>
      </c>
      <c r="Q97" s="52"/>
    </row>
    <row r="98" spans="2:17" ht="80.099999999999994" customHeight="1" x14ac:dyDescent="0.3">
      <c r="B98" s="48">
        <v>91</v>
      </c>
      <c r="C98" s="5" t="s">
        <v>260</v>
      </c>
      <c r="D98" s="2" t="s">
        <v>255</v>
      </c>
      <c r="E98" s="15" t="s">
        <v>256</v>
      </c>
      <c r="F98" s="6" t="s">
        <v>21</v>
      </c>
      <c r="G98" s="12" t="s">
        <v>257</v>
      </c>
      <c r="H98" s="7" t="s">
        <v>258</v>
      </c>
      <c r="I98" s="14" t="s">
        <v>259</v>
      </c>
      <c r="J98" s="13">
        <v>45762</v>
      </c>
      <c r="K98" s="13">
        <v>46127</v>
      </c>
      <c r="L98" s="48" t="str">
        <f t="shared" ca="1" si="5"/>
        <v>PENDENTE</v>
      </c>
      <c r="M98" s="5" t="s">
        <v>261</v>
      </c>
      <c r="N98" s="5" t="s">
        <v>258</v>
      </c>
      <c r="O98" s="17"/>
      <c r="P98" s="5" t="s">
        <v>26</v>
      </c>
      <c r="Q98" s="5"/>
    </row>
    <row r="99" spans="2:17" ht="80.099999999999994" customHeight="1" x14ac:dyDescent="0.3">
      <c r="B99" s="48">
        <v>92</v>
      </c>
      <c r="C99" s="5" t="s">
        <v>260</v>
      </c>
      <c r="D99" s="2" t="s">
        <v>255</v>
      </c>
      <c r="E99" s="15" t="s">
        <v>262</v>
      </c>
      <c r="F99" s="6" t="s">
        <v>21</v>
      </c>
      <c r="G99" s="6" t="s">
        <v>263</v>
      </c>
      <c r="H99" s="7" t="s">
        <v>264</v>
      </c>
      <c r="I99" s="21" t="s">
        <v>243</v>
      </c>
      <c r="J99" s="13">
        <v>45706</v>
      </c>
      <c r="K99" s="13">
        <v>46071</v>
      </c>
      <c r="L99" s="48" t="str">
        <f t="shared" ca="1" si="5"/>
        <v>PENDENTE</v>
      </c>
      <c r="M99" s="5" t="s">
        <v>265</v>
      </c>
      <c r="N99" s="5" t="s">
        <v>266</v>
      </c>
      <c r="O99" s="17"/>
      <c r="P99" s="5" t="s">
        <v>26</v>
      </c>
      <c r="Q99" s="5"/>
    </row>
    <row r="100" spans="2:17" ht="80.099999999999994" customHeight="1" x14ac:dyDescent="0.3">
      <c r="B100" s="48">
        <v>93</v>
      </c>
      <c r="C100" s="5" t="s">
        <v>473</v>
      </c>
      <c r="D100" s="2" t="s">
        <v>341</v>
      </c>
      <c r="E100" s="15" t="s">
        <v>510</v>
      </c>
      <c r="F100" s="6" t="s">
        <v>21</v>
      </c>
      <c r="G100" s="6" t="s">
        <v>263</v>
      </c>
      <c r="H100" s="21" t="s">
        <v>243</v>
      </c>
      <c r="I100" s="21" t="s">
        <v>350</v>
      </c>
      <c r="J100" s="13">
        <v>45854</v>
      </c>
      <c r="K100" s="13">
        <v>46219</v>
      </c>
      <c r="L100" s="48" t="str">
        <f t="shared" ref="L100:L118" ca="1" si="6">IF(TODAY()&lt;K100,"OK","PENDENTE")</f>
        <v>OK</v>
      </c>
      <c r="M100" s="5" t="s">
        <v>511</v>
      </c>
      <c r="N100" s="5" t="s">
        <v>128</v>
      </c>
      <c r="O100" s="17"/>
      <c r="P100" s="5" t="s">
        <v>26</v>
      </c>
      <c r="Q100" s="5"/>
    </row>
    <row r="101" spans="2:17" ht="80.099999999999994" customHeight="1" x14ac:dyDescent="0.3">
      <c r="B101" s="48">
        <v>94</v>
      </c>
      <c r="C101" s="5" t="s">
        <v>473</v>
      </c>
      <c r="D101" s="2" t="s">
        <v>341</v>
      </c>
      <c r="E101" s="15" t="s">
        <v>512</v>
      </c>
      <c r="F101" s="6" t="s">
        <v>21</v>
      </c>
      <c r="G101" s="6" t="s">
        <v>263</v>
      </c>
      <c r="H101" s="21" t="s">
        <v>243</v>
      </c>
      <c r="I101" s="21" t="s">
        <v>350</v>
      </c>
      <c r="J101" s="13">
        <v>45854</v>
      </c>
      <c r="K101" s="13">
        <v>46219</v>
      </c>
      <c r="L101" s="48" t="str">
        <f t="shared" ca="1" si="6"/>
        <v>OK</v>
      </c>
      <c r="M101" s="5" t="s">
        <v>513</v>
      </c>
      <c r="N101" s="5" t="s">
        <v>128</v>
      </c>
      <c r="O101" s="17"/>
      <c r="P101" s="5" t="s">
        <v>26</v>
      </c>
      <c r="Q101" s="5"/>
    </row>
    <row r="102" spans="2:17" ht="80.099999999999994" customHeight="1" x14ac:dyDescent="0.3">
      <c r="B102" s="48">
        <v>95</v>
      </c>
      <c r="C102" s="5" t="s">
        <v>473</v>
      </c>
      <c r="D102" s="2" t="s">
        <v>341</v>
      </c>
      <c r="E102" s="16" t="s">
        <v>514</v>
      </c>
      <c r="F102" s="6" t="s">
        <v>21</v>
      </c>
      <c r="G102" s="6" t="s">
        <v>263</v>
      </c>
      <c r="H102" s="21" t="s">
        <v>243</v>
      </c>
      <c r="I102" s="21" t="s">
        <v>350</v>
      </c>
      <c r="J102" s="13">
        <v>45854</v>
      </c>
      <c r="K102" s="13">
        <v>46219</v>
      </c>
      <c r="L102" s="48" t="str">
        <f t="shared" ca="1" si="6"/>
        <v>OK</v>
      </c>
      <c r="M102" s="5" t="s">
        <v>515</v>
      </c>
      <c r="N102" s="5" t="s">
        <v>128</v>
      </c>
      <c r="O102" s="17"/>
      <c r="P102" s="5" t="s">
        <v>26</v>
      </c>
      <c r="Q102" s="5"/>
    </row>
    <row r="103" spans="2:17" ht="80.099999999999994" customHeight="1" x14ac:dyDescent="0.3">
      <c r="B103" s="48">
        <v>96</v>
      </c>
      <c r="C103" s="5" t="s">
        <v>473</v>
      </c>
      <c r="D103" s="2" t="s">
        <v>341</v>
      </c>
      <c r="E103" s="15" t="s">
        <v>516</v>
      </c>
      <c r="F103" s="6" t="s">
        <v>21</v>
      </c>
      <c r="G103" s="6" t="s">
        <v>263</v>
      </c>
      <c r="H103" s="21" t="s">
        <v>243</v>
      </c>
      <c r="I103" s="21" t="s">
        <v>350</v>
      </c>
      <c r="J103" s="13">
        <v>45854</v>
      </c>
      <c r="K103" s="13">
        <v>46219</v>
      </c>
      <c r="L103" s="48" t="str">
        <f t="shared" ca="1" si="6"/>
        <v>OK</v>
      </c>
      <c r="M103" s="5" t="s">
        <v>517</v>
      </c>
      <c r="N103" s="5" t="s">
        <v>128</v>
      </c>
      <c r="O103" s="17"/>
      <c r="P103" s="5" t="s">
        <v>26</v>
      </c>
      <c r="Q103" s="5"/>
    </row>
    <row r="104" spans="2:17" ht="80.099999999999994" customHeight="1" x14ac:dyDescent="0.3">
      <c r="B104" s="48">
        <v>97</v>
      </c>
      <c r="C104" s="5" t="s">
        <v>260</v>
      </c>
      <c r="D104" s="2" t="s">
        <v>255</v>
      </c>
      <c r="E104" s="15" t="s">
        <v>267</v>
      </c>
      <c r="F104" s="6" t="s">
        <v>21</v>
      </c>
      <c r="G104" s="6" t="s">
        <v>268</v>
      </c>
      <c r="H104" s="7" t="s">
        <v>269</v>
      </c>
      <c r="I104" s="5" t="s">
        <v>270</v>
      </c>
      <c r="J104" s="13">
        <v>45706</v>
      </c>
      <c r="K104" s="13">
        <v>46071</v>
      </c>
      <c r="L104" s="48" t="str">
        <f t="shared" ca="1" si="6"/>
        <v>PENDENTE</v>
      </c>
      <c r="M104" s="5" t="s">
        <v>271</v>
      </c>
      <c r="N104" s="5" t="s">
        <v>266</v>
      </c>
      <c r="O104" s="17"/>
      <c r="P104" s="5" t="s">
        <v>26</v>
      </c>
      <c r="Q104" s="52" t="s">
        <v>716</v>
      </c>
    </row>
    <row r="105" spans="2:17" ht="80.099999999999994" customHeight="1" x14ac:dyDescent="0.3">
      <c r="B105" s="48">
        <v>98</v>
      </c>
      <c r="C105" s="5" t="s">
        <v>260</v>
      </c>
      <c r="D105" s="2" t="s">
        <v>255</v>
      </c>
      <c r="E105" s="15" t="s">
        <v>272</v>
      </c>
      <c r="F105" s="6" t="s">
        <v>21</v>
      </c>
      <c r="G105" s="12" t="s">
        <v>273</v>
      </c>
      <c r="H105" s="7" t="s">
        <v>156</v>
      </c>
      <c r="I105" s="21" t="s">
        <v>243</v>
      </c>
      <c r="J105" s="13">
        <v>45706</v>
      </c>
      <c r="K105" s="13">
        <v>46071</v>
      </c>
      <c r="L105" s="48" t="str">
        <f t="shared" ca="1" si="6"/>
        <v>PENDENTE</v>
      </c>
      <c r="M105" s="5" t="s">
        <v>274</v>
      </c>
      <c r="N105" s="5" t="s">
        <v>266</v>
      </c>
      <c r="O105" s="17"/>
      <c r="P105" s="5" t="s">
        <v>26</v>
      </c>
      <c r="Q105" s="52" t="s">
        <v>716</v>
      </c>
    </row>
    <row r="106" spans="2:17" ht="80.099999999999994" customHeight="1" x14ac:dyDescent="0.3">
      <c r="B106" s="48">
        <v>99</v>
      </c>
      <c r="C106" s="5" t="s">
        <v>260</v>
      </c>
      <c r="D106" s="2" t="s">
        <v>255</v>
      </c>
      <c r="E106" s="15" t="s">
        <v>275</v>
      </c>
      <c r="F106" s="6" t="s">
        <v>21</v>
      </c>
      <c r="G106" s="6" t="s">
        <v>162</v>
      </c>
      <c r="H106" s="7" t="s">
        <v>157</v>
      </c>
      <c r="I106" s="5" t="s">
        <v>276</v>
      </c>
      <c r="J106" s="13">
        <v>45706</v>
      </c>
      <c r="K106" s="13">
        <v>46071</v>
      </c>
      <c r="L106" s="48" t="str">
        <f t="shared" ca="1" si="6"/>
        <v>PENDENTE</v>
      </c>
      <c r="M106" s="5" t="s">
        <v>277</v>
      </c>
      <c r="N106" s="5" t="s">
        <v>266</v>
      </c>
      <c r="O106" s="17"/>
      <c r="P106" s="5" t="s">
        <v>26</v>
      </c>
      <c r="Q106" s="52" t="s">
        <v>716</v>
      </c>
    </row>
    <row r="107" spans="2:17" ht="80.099999999999994" customHeight="1" x14ac:dyDescent="0.3">
      <c r="B107" s="48">
        <v>100</v>
      </c>
      <c r="C107" s="5" t="s">
        <v>260</v>
      </c>
      <c r="D107" s="2" t="s">
        <v>255</v>
      </c>
      <c r="E107" s="15" t="s">
        <v>278</v>
      </c>
      <c r="F107" s="6" t="s">
        <v>21</v>
      </c>
      <c r="G107" s="6" t="s">
        <v>279</v>
      </c>
      <c r="H107" s="7" t="s">
        <v>269</v>
      </c>
      <c r="I107" s="21" t="s">
        <v>243</v>
      </c>
      <c r="J107" s="13">
        <v>45706</v>
      </c>
      <c r="K107" s="13">
        <v>46071</v>
      </c>
      <c r="L107" s="48" t="str">
        <f t="shared" ca="1" si="6"/>
        <v>PENDENTE</v>
      </c>
      <c r="M107" s="5" t="s">
        <v>280</v>
      </c>
      <c r="N107" s="5" t="s">
        <v>266</v>
      </c>
      <c r="O107" s="17"/>
      <c r="P107" s="5" t="s">
        <v>26</v>
      </c>
      <c r="Q107" s="52" t="s">
        <v>716</v>
      </c>
    </row>
    <row r="108" spans="2:17" ht="80.099999999999994" customHeight="1" x14ac:dyDescent="0.3">
      <c r="B108" s="48">
        <v>101</v>
      </c>
      <c r="C108" s="5" t="s">
        <v>281</v>
      </c>
      <c r="D108" s="2" t="s">
        <v>255</v>
      </c>
      <c r="E108" s="15" t="s">
        <v>282</v>
      </c>
      <c r="F108" s="6" t="s">
        <v>21</v>
      </c>
      <c r="G108" s="12" t="s">
        <v>283</v>
      </c>
      <c r="H108" s="7" t="s">
        <v>284</v>
      </c>
      <c r="I108" s="5" t="s">
        <v>285</v>
      </c>
      <c r="J108" s="13">
        <v>46007</v>
      </c>
      <c r="K108" s="13">
        <v>46097</v>
      </c>
      <c r="L108" s="48" t="str">
        <f t="shared" ca="1" si="6"/>
        <v>PENDENTE</v>
      </c>
      <c r="M108" s="5">
        <v>801025</v>
      </c>
      <c r="N108" s="14" t="s">
        <v>289</v>
      </c>
      <c r="O108" s="18" t="s">
        <v>546</v>
      </c>
      <c r="P108" s="5" t="s">
        <v>26</v>
      </c>
      <c r="Q108" s="14" t="s">
        <v>586</v>
      </c>
    </row>
    <row r="109" spans="2:17" ht="80.099999999999994" customHeight="1" x14ac:dyDescent="0.3">
      <c r="B109" s="48">
        <v>102</v>
      </c>
      <c r="C109" s="5" t="s">
        <v>281</v>
      </c>
      <c r="D109" s="2" t="s">
        <v>255</v>
      </c>
      <c r="E109" s="15" t="s">
        <v>286</v>
      </c>
      <c r="F109" s="6" t="s">
        <v>21</v>
      </c>
      <c r="G109" s="12" t="s">
        <v>287</v>
      </c>
      <c r="H109" s="7" t="s">
        <v>284</v>
      </c>
      <c r="I109" s="5" t="s">
        <v>288</v>
      </c>
      <c r="J109" s="13">
        <v>46007</v>
      </c>
      <c r="K109" s="13">
        <v>46097</v>
      </c>
      <c r="L109" s="48" t="str">
        <f t="shared" ca="1" si="6"/>
        <v>PENDENTE</v>
      </c>
      <c r="M109" s="5">
        <v>801026</v>
      </c>
      <c r="N109" s="14" t="s">
        <v>289</v>
      </c>
      <c r="O109" s="18" t="s">
        <v>546</v>
      </c>
      <c r="P109" s="5" t="s">
        <v>26</v>
      </c>
      <c r="Q109" s="14" t="s">
        <v>586</v>
      </c>
    </row>
    <row r="110" spans="2:17" ht="80.099999999999994" customHeight="1" x14ac:dyDescent="0.3">
      <c r="B110" s="48">
        <v>103</v>
      </c>
      <c r="C110" s="5" t="s">
        <v>281</v>
      </c>
      <c r="D110" s="2" t="s">
        <v>255</v>
      </c>
      <c r="E110" s="15" t="s">
        <v>332</v>
      </c>
      <c r="F110" s="6" t="s">
        <v>21</v>
      </c>
      <c r="G110" s="12" t="s">
        <v>329</v>
      </c>
      <c r="H110" s="7" t="s">
        <v>284</v>
      </c>
      <c r="I110" s="5" t="s">
        <v>330</v>
      </c>
      <c r="J110" s="13">
        <v>46007</v>
      </c>
      <c r="K110" s="13">
        <v>46097</v>
      </c>
      <c r="L110" s="48" t="str">
        <f t="shared" ca="1" si="6"/>
        <v>PENDENTE</v>
      </c>
      <c r="M110" s="5">
        <v>801027</v>
      </c>
      <c r="N110" s="14" t="s">
        <v>289</v>
      </c>
      <c r="O110" s="18" t="s">
        <v>546</v>
      </c>
      <c r="P110" s="5" t="s">
        <v>26</v>
      </c>
      <c r="Q110" s="14" t="s">
        <v>586</v>
      </c>
    </row>
    <row r="111" spans="2:17" ht="80.099999999999994" customHeight="1" x14ac:dyDescent="0.3">
      <c r="B111" s="48">
        <v>104</v>
      </c>
      <c r="C111" s="5" t="s">
        <v>281</v>
      </c>
      <c r="D111" s="2" t="s">
        <v>255</v>
      </c>
      <c r="E111" s="15" t="s">
        <v>333</v>
      </c>
      <c r="F111" s="6" t="s">
        <v>21</v>
      </c>
      <c r="G111" s="12" t="s">
        <v>331</v>
      </c>
      <c r="H111" s="7" t="s">
        <v>284</v>
      </c>
      <c r="I111" s="5" t="s">
        <v>330</v>
      </c>
      <c r="J111" s="13">
        <v>46007</v>
      </c>
      <c r="K111" s="13">
        <v>46097</v>
      </c>
      <c r="L111" s="48" t="str">
        <f t="shared" ca="1" si="6"/>
        <v>PENDENTE</v>
      </c>
      <c r="M111" s="5">
        <v>801028</v>
      </c>
      <c r="N111" s="14" t="s">
        <v>289</v>
      </c>
      <c r="O111" s="18" t="s">
        <v>546</v>
      </c>
      <c r="P111" s="5" t="s">
        <v>26</v>
      </c>
      <c r="Q111" s="14" t="s">
        <v>586</v>
      </c>
    </row>
    <row r="112" spans="2:17" ht="80.099999999999994" customHeight="1" x14ac:dyDescent="0.3">
      <c r="B112" s="48">
        <v>105</v>
      </c>
      <c r="C112" s="5" t="s">
        <v>20</v>
      </c>
      <c r="D112" s="2" t="s">
        <v>451</v>
      </c>
      <c r="E112" s="15" t="s">
        <v>335</v>
      </c>
      <c r="F112" s="6" t="s">
        <v>21</v>
      </c>
      <c r="G112" s="6" t="s">
        <v>73</v>
      </c>
      <c r="H112" s="7" t="s">
        <v>336</v>
      </c>
      <c r="I112" s="5" t="s">
        <v>21</v>
      </c>
      <c r="J112" s="13">
        <v>45806</v>
      </c>
      <c r="K112" s="13">
        <v>46171</v>
      </c>
      <c r="L112" s="48" t="str">
        <f t="shared" ca="1" si="6"/>
        <v>PENDENTE</v>
      </c>
      <c r="M112" s="48" t="s">
        <v>337</v>
      </c>
      <c r="N112" s="14" t="s">
        <v>62</v>
      </c>
      <c r="O112" s="17" t="s">
        <v>338</v>
      </c>
      <c r="P112" s="5" t="s">
        <v>347</v>
      </c>
      <c r="Q112" s="5"/>
    </row>
    <row r="113" spans="2:17" ht="80.099999999999994" customHeight="1" x14ac:dyDescent="0.3">
      <c r="B113" s="48">
        <v>106</v>
      </c>
      <c r="C113" s="5" t="s">
        <v>125</v>
      </c>
      <c r="D113" s="2" t="s">
        <v>341</v>
      </c>
      <c r="E113" s="16" t="s">
        <v>362</v>
      </c>
      <c r="F113" s="6" t="s">
        <v>21</v>
      </c>
      <c r="G113" s="12" t="s">
        <v>126</v>
      </c>
      <c r="H113" s="7" t="s">
        <v>127</v>
      </c>
      <c r="I113" s="5" t="s">
        <v>42</v>
      </c>
      <c r="J113" s="13">
        <v>45804</v>
      </c>
      <c r="K113" s="13">
        <v>46169</v>
      </c>
      <c r="L113" s="48" t="str">
        <f t="shared" ca="1" si="6"/>
        <v>PENDENTE</v>
      </c>
      <c r="M113" s="5" t="s">
        <v>363</v>
      </c>
      <c r="N113" s="14" t="s">
        <v>128</v>
      </c>
      <c r="O113" s="17" t="s">
        <v>364</v>
      </c>
      <c r="P113" s="5" t="s">
        <v>26</v>
      </c>
      <c r="Q113" s="5"/>
    </row>
    <row r="114" spans="2:17" ht="80.099999999999994" customHeight="1" x14ac:dyDescent="0.3">
      <c r="B114" s="48">
        <v>107</v>
      </c>
      <c r="C114" s="48" t="s">
        <v>473</v>
      </c>
      <c r="D114" s="49" t="s">
        <v>509</v>
      </c>
      <c r="E114" s="15" t="s">
        <v>360</v>
      </c>
      <c r="F114" s="6" t="s">
        <v>21</v>
      </c>
      <c r="G114" s="12" t="s">
        <v>518</v>
      </c>
      <c r="H114" s="7" t="s">
        <v>135</v>
      </c>
      <c r="I114" s="5" t="s">
        <v>348</v>
      </c>
      <c r="J114" s="13">
        <v>45884</v>
      </c>
      <c r="K114" s="13">
        <v>46249</v>
      </c>
      <c r="L114" s="48" t="str">
        <f t="shared" ca="1" si="6"/>
        <v>OK</v>
      </c>
      <c r="M114" s="5" t="s">
        <v>361</v>
      </c>
      <c r="N114" s="14" t="s">
        <v>181</v>
      </c>
      <c r="O114" s="17"/>
      <c r="P114" s="5" t="s">
        <v>26</v>
      </c>
      <c r="Q114" s="5"/>
    </row>
    <row r="115" spans="2:17" ht="80.099999999999994" customHeight="1" x14ac:dyDescent="0.3">
      <c r="B115" s="48">
        <v>108</v>
      </c>
      <c r="C115" s="5" t="s">
        <v>125</v>
      </c>
      <c r="D115" s="2" t="s">
        <v>341</v>
      </c>
      <c r="E115" s="16" t="s">
        <v>349</v>
      </c>
      <c r="F115" s="6" t="s">
        <v>21</v>
      </c>
      <c r="G115" s="12" t="s">
        <v>155</v>
      </c>
      <c r="H115" s="21" t="s">
        <v>243</v>
      </c>
      <c r="I115" s="14" t="s">
        <v>350</v>
      </c>
      <c r="J115" s="13">
        <v>45791</v>
      </c>
      <c r="K115" s="13">
        <v>46156</v>
      </c>
      <c r="L115" s="48" t="str">
        <f t="shared" ca="1" si="6"/>
        <v>PENDENTE</v>
      </c>
      <c r="M115" s="5" t="s">
        <v>351</v>
      </c>
      <c r="N115" s="5" t="s">
        <v>128</v>
      </c>
      <c r="O115" s="17"/>
      <c r="P115" s="5" t="s">
        <v>26</v>
      </c>
      <c r="Q115" s="5"/>
    </row>
    <row r="116" spans="2:17" ht="80.099999999999994" customHeight="1" x14ac:dyDescent="0.3">
      <c r="B116" s="48">
        <v>109</v>
      </c>
      <c r="C116" s="5" t="s">
        <v>125</v>
      </c>
      <c r="D116" s="2" t="s">
        <v>144</v>
      </c>
      <c r="E116" s="15" t="s">
        <v>352</v>
      </c>
      <c r="F116" s="6" t="s">
        <v>21</v>
      </c>
      <c r="G116" s="12" t="s">
        <v>353</v>
      </c>
      <c r="H116" s="21" t="s">
        <v>243</v>
      </c>
      <c r="I116" s="5" t="s">
        <v>354</v>
      </c>
      <c r="J116" s="13">
        <v>45890</v>
      </c>
      <c r="K116" s="13">
        <v>46255</v>
      </c>
      <c r="L116" s="48" t="str">
        <f t="shared" ca="1" si="6"/>
        <v>OK</v>
      </c>
      <c r="M116" s="5" t="s">
        <v>355</v>
      </c>
      <c r="N116" s="5" t="s">
        <v>356</v>
      </c>
      <c r="O116" s="17" t="s">
        <v>357</v>
      </c>
      <c r="P116" s="5" t="s">
        <v>26</v>
      </c>
      <c r="Q116" s="5"/>
    </row>
    <row r="117" spans="2:17" ht="80.099999999999994" customHeight="1" x14ac:dyDescent="0.3">
      <c r="B117" s="48">
        <v>110</v>
      </c>
      <c r="C117" s="48" t="s">
        <v>473</v>
      </c>
      <c r="D117" s="49" t="s">
        <v>509</v>
      </c>
      <c r="E117" s="15" t="s">
        <v>519</v>
      </c>
      <c r="F117" s="6" t="s">
        <v>21</v>
      </c>
      <c r="G117" s="12" t="s">
        <v>520</v>
      </c>
      <c r="H117" s="21" t="s">
        <v>135</v>
      </c>
      <c r="I117" s="5" t="s">
        <v>521</v>
      </c>
      <c r="J117" s="13">
        <v>45884</v>
      </c>
      <c r="K117" s="13">
        <v>46249</v>
      </c>
      <c r="L117" s="48" t="str">
        <f t="shared" ca="1" si="6"/>
        <v>OK</v>
      </c>
      <c r="M117" s="5" t="s">
        <v>522</v>
      </c>
      <c r="N117" s="14" t="s">
        <v>181</v>
      </c>
      <c r="O117" s="17"/>
      <c r="P117" s="5" t="s">
        <v>26</v>
      </c>
      <c r="Q117" s="5"/>
    </row>
    <row r="118" spans="2:17" ht="80.099999999999994" customHeight="1" x14ac:dyDescent="0.3">
      <c r="B118" s="48">
        <v>111</v>
      </c>
      <c r="C118" s="5" t="s">
        <v>125</v>
      </c>
      <c r="D118" s="2" t="s">
        <v>341</v>
      </c>
      <c r="E118" s="16" t="s">
        <v>365</v>
      </c>
      <c r="F118" s="6" t="s">
        <v>21</v>
      </c>
      <c r="G118" s="12" t="s">
        <v>126</v>
      </c>
      <c r="H118" s="7" t="s">
        <v>366</v>
      </c>
      <c r="I118" s="5" t="s">
        <v>42</v>
      </c>
      <c r="J118" s="13">
        <v>45817</v>
      </c>
      <c r="K118" s="13">
        <v>46182</v>
      </c>
      <c r="L118" s="48" t="str">
        <f t="shared" ca="1" si="6"/>
        <v>PENDENTE</v>
      </c>
      <c r="M118" s="5" t="s">
        <v>367</v>
      </c>
      <c r="N118" s="5" t="s">
        <v>128</v>
      </c>
      <c r="O118" s="17" t="s">
        <v>364</v>
      </c>
      <c r="P118" s="5" t="s">
        <v>26</v>
      </c>
      <c r="Q118" s="5"/>
    </row>
    <row r="119" spans="2:17" ht="80.099999999999994" customHeight="1" x14ac:dyDescent="0.3">
      <c r="B119" s="57">
        <v>112</v>
      </c>
      <c r="C119" s="57" t="s">
        <v>125</v>
      </c>
      <c r="D119" s="58" t="s">
        <v>341</v>
      </c>
      <c r="E119" s="59" t="s">
        <v>368</v>
      </c>
      <c r="F119" s="60" t="s">
        <v>21</v>
      </c>
      <c r="G119" s="61" t="s">
        <v>126</v>
      </c>
      <c r="H119" s="62" t="s">
        <v>127</v>
      </c>
      <c r="I119" s="57" t="s">
        <v>42</v>
      </c>
      <c r="J119" s="63">
        <v>45541</v>
      </c>
      <c r="K119" s="63">
        <v>45906</v>
      </c>
      <c r="L119" s="57" t="s">
        <v>600</v>
      </c>
      <c r="M119" s="57" t="s">
        <v>369</v>
      </c>
      <c r="N119" s="57" t="s">
        <v>128</v>
      </c>
      <c r="O119" s="64" t="s">
        <v>364</v>
      </c>
      <c r="P119" s="57" t="s">
        <v>26</v>
      </c>
      <c r="Q119" s="71" t="s">
        <v>523</v>
      </c>
    </row>
    <row r="120" spans="2:17" ht="80.099999999999994" customHeight="1" x14ac:dyDescent="0.3">
      <c r="B120" s="57">
        <v>113</v>
      </c>
      <c r="C120" s="57" t="s">
        <v>125</v>
      </c>
      <c r="D120" s="58" t="s">
        <v>341</v>
      </c>
      <c r="E120" s="66" t="s">
        <v>370</v>
      </c>
      <c r="F120" s="60" t="s">
        <v>21</v>
      </c>
      <c r="G120" s="61" t="s">
        <v>126</v>
      </c>
      <c r="H120" s="67" t="s">
        <v>243</v>
      </c>
      <c r="I120" s="57" t="s">
        <v>42</v>
      </c>
      <c r="J120" s="63">
        <v>45793</v>
      </c>
      <c r="K120" s="63">
        <v>46158</v>
      </c>
      <c r="L120" s="57" t="s">
        <v>600</v>
      </c>
      <c r="M120" s="57" t="s">
        <v>371</v>
      </c>
      <c r="N120" s="57" t="s">
        <v>128</v>
      </c>
      <c r="O120" s="64" t="s">
        <v>364</v>
      </c>
      <c r="P120" s="57" t="s">
        <v>26</v>
      </c>
      <c r="Q120" s="71" t="s">
        <v>523</v>
      </c>
    </row>
    <row r="121" spans="2:17" ht="80.099999999999994" customHeight="1" x14ac:dyDescent="0.3">
      <c r="B121" s="57">
        <v>114</v>
      </c>
      <c r="C121" s="57" t="s">
        <v>125</v>
      </c>
      <c r="D121" s="58" t="s">
        <v>341</v>
      </c>
      <c r="E121" s="66" t="s">
        <v>372</v>
      </c>
      <c r="F121" s="60" t="s">
        <v>21</v>
      </c>
      <c r="G121" s="61" t="s">
        <v>126</v>
      </c>
      <c r="H121" s="67" t="s">
        <v>243</v>
      </c>
      <c r="I121" s="57" t="s">
        <v>42</v>
      </c>
      <c r="J121" s="63">
        <v>45793</v>
      </c>
      <c r="K121" s="63">
        <v>46158</v>
      </c>
      <c r="L121" s="57" t="s">
        <v>600</v>
      </c>
      <c r="M121" s="57" t="s">
        <v>373</v>
      </c>
      <c r="N121" s="57" t="s">
        <v>128</v>
      </c>
      <c r="O121" s="64" t="s">
        <v>364</v>
      </c>
      <c r="P121" s="57" t="s">
        <v>26</v>
      </c>
      <c r="Q121" s="71" t="s">
        <v>523</v>
      </c>
    </row>
    <row r="122" spans="2:17" ht="80.099999999999994" customHeight="1" x14ac:dyDescent="0.3">
      <c r="B122" s="48">
        <v>115</v>
      </c>
      <c r="C122" s="5" t="s">
        <v>125</v>
      </c>
      <c r="D122" s="2" t="s">
        <v>341</v>
      </c>
      <c r="E122" s="15" t="s">
        <v>374</v>
      </c>
      <c r="F122" s="6" t="s">
        <v>21</v>
      </c>
      <c r="G122" s="12" t="s">
        <v>126</v>
      </c>
      <c r="H122" s="21" t="s">
        <v>243</v>
      </c>
      <c r="I122" s="5" t="s">
        <v>42</v>
      </c>
      <c r="J122" s="13">
        <v>45834</v>
      </c>
      <c r="K122" s="13">
        <v>46199</v>
      </c>
      <c r="L122" s="48" t="str">
        <f ca="1">IF(TODAY()&lt;K122,"OK","PENDENTE")</f>
        <v>OK</v>
      </c>
      <c r="M122" s="5" t="s">
        <v>375</v>
      </c>
      <c r="N122" s="5" t="s">
        <v>128</v>
      </c>
      <c r="O122" s="17" t="s">
        <v>364</v>
      </c>
      <c r="P122" s="5" t="s">
        <v>26</v>
      </c>
      <c r="Q122" s="5"/>
    </row>
    <row r="123" spans="2:17" ht="80.099999999999994" customHeight="1" x14ac:dyDescent="0.3">
      <c r="B123" s="48">
        <v>116</v>
      </c>
      <c r="C123" s="5" t="s">
        <v>473</v>
      </c>
      <c r="D123" s="2" t="s">
        <v>341</v>
      </c>
      <c r="E123" s="15" t="s">
        <v>376</v>
      </c>
      <c r="F123" s="6" t="s">
        <v>21</v>
      </c>
      <c r="G123" s="12" t="s">
        <v>137</v>
      </c>
      <c r="H123" s="7" t="s">
        <v>143</v>
      </c>
      <c r="I123" s="14" t="s">
        <v>377</v>
      </c>
      <c r="J123" s="13">
        <v>45758</v>
      </c>
      <c r="K123" s="13">
        <v>46123</v>
      </c>
      <c r="L123" s="48" t="str">
        <f ca="1">IF(TODAY()&lt;K123,"OK","PENDENTE")</f>
        <v>PENDENTE</v>
      </c>
      <c r="M123" s="5" t="s">
        <v>379</v>
      </c>
      <c r="N123" s="5" t="s">
        <v>128</v>
      </c>
      <c r="O123" s="17" t="s">
        <v>378</v>
      </c>
      <c r="P123" s="5" t="s">
        <v>26</v>
      </c>
      <c r="Q123" s="5"/>
    </row>
    <row r="124" spans="2:17" ht="80.099999999999994" customHeight="1" x14ac:dyDescent="0.3">
      <c r="B124" s="48">
        <v>117</v>
      </c>
      <c r="C124" s="5" t="s">
        <v>473</v>
      </c>
      <c r="D124" s="2" t="s">
        <v>341</v>
      </c>
      <c r="E124" s="16" t="s">
        <v>381</v>
      </c>
      <c r="F124" s="6" t="s">
        <v>21</v>
      </c>
      <c r="G124" s="6" t="s">
        <v>137</v>
      </c>
      <c r="H124" s="7" t="s">
        <v>138</v>
      </c>
      <c r="I124" s="14" t="s">
        <v>382</v>
      </c>
      <c r="J124" s="13">
        <v>45761</v>
      </c>
      <c r="K124" s="13">
        <v>46126</v>
      </c>
      <c r="L124" s="48" t="str">
        <f ca="1">IF(TODAY()&lt;K124,"OK","PENDENTE")</f>
        <v>PENDENTE</v>
      </c>
      <c r="M124" s="5" t="s">
        <v>380</v>
      </c>
      <c r="N124" s="5" t="s">
        <v>128</v>
      </c>
      <c r="O124" s="17" t="s">
        <v>378</v>
      </c>
      <c r="P124" s="5" t="s">
        <v>26</v>
      </c>
      <c r="Q124" s="5"/>
    </row>
    <row r="125" spans="2:17" s="74" customFormat="1" ht="80.099999999999994" customHeight="1" x14ac:dyDescent="0.3">
      <c r="B125" s="48">
        <v>118</v>
      </c>
      <c r="C125" s="48" t="s">
        <v>473</v>
      </c>
      <c r="D125" s="49" t="s">
        <v>341</v>
      </c>
      <c r="E125" s="15" t="s">
        <v>383</v>
      </c>
      <c r="F125" s="50" t="s">
        <v>21</v>
      </c>
      <c r="G125" s="50" t="s">
        <v>137</v>
      </c>
      <c r="H125" s="51" t="s">
        <v>138</v>
      </c>
      <c r="I125" s="52" t="s">
        <v>140</v>
      </c>
      <c r="J125" s="53">
        <v>46041</v>
      </c>
      <c r="K125" s="53">
        <v>46406</v>
      </c>
      <c r="L125" s="52" t="s">
        <v>667</v>
      </c>
      <c r="M125" s="48" t="s">
        <v>690</v>
      </c>
      <c r="N125" s="48" t="s">
        <v>128</v>
      </c>
      <c r="O125" s="73" t="s">
        <v>378</v>
      </c>
      <c r="P125" s="48" t="s">
        <v>26</v>
      </c>
      <c r="Q125" s="52"/>
    </row>
    <row r="126" spans="2:17" ht="80.099999999999994" customHeight="1" x14ac:dyDescent="0.3">
      <c r="B126" s="48">
        <v>119</v>
      </c>
      <c r="C126" s="5" t="s">
        <v>473</v>
      </c>
      <c r="D126" s="2" t="s">
        <v>341</v>
      </c>
      <c r="E126" s="15" t="s">
        <v>384</v>
      </c>
      <c r="F126" s="6" t="s">
        <v>21</v>
      </c>
      <c r="G126" s="6" t="s">
        <v>137</v>
      </c>
      <c r="H126" s="7" t="s">
        <v>138</v>
      </c>
      <c r="I126" s="5" t="s">
        <v>385</v>
      </c>
      <c r="J126" s="13">
        <v>45770</v>
      </c>
      <c r="K126" s="13">
        <v>46135</v>
      </c>
      <c r="L126" s="48" t="str">
        <f t="shared" ref="L126:L140" ca="1" si="7">IF(TODAY()&lt;K126,"OK","PENDENTE")</f>
        <v>PENDENTE</v>
      </c>
      <c r="M126" s="5" t="s">
        <v>386</v>
      </c>
      <c r="N126" s="5" t="s">
        <v>128</v>
      </c>
      <c r="O126" s="17" t="s">
        <v>378</v>
      </c>
      <c r="P126" s="5" t="s">
        <v>26</v>
      </c>
      <c r="Q126" s="5"/>
    </row>
    <row r="127" spans="2:17" ht="80.099999999999994" customHeight="1" x14ac:dyDescent="0.3">
      <c r="B127" s="48">
        <v>120</v>
      </c>
      <c r="C127" s="5" t="s">
        <v>473</v>
      </c>
      <c r="D127" s="2" t="s">
        <v>341</v>
      </c>
      <c r="E127" s="15" t="s">
        <v>387</v>
      </c>
      <c r="F127" s="6" t="s">
        <v>21</v>
      </c>
      <c r="G127" s="6" t="s">
        <v>137</v>
      </c>
      <c r="H127" s="7" t="s">
        <v>388</v>
      </c>
      <c r="I127" s="14" t="s">
        <v>350</v>
      </c>
      <c r="J127" s="13">
        <v>45758</v>
      </c>
      <c r="K127" s="13">
        <v>46123</v>
      </c>
      <c r="L127" s="48" t="str">
        <f t="shared" ca="1" si="7"/>
        <v>PENDENTE</v>
      </c>
      <c r="M127" s="5" t="s">
        <v>389</v>
      </c>
      <c r="N127" s="5" t="s">
        <v>128</v>
      </c>
      <c r="O127" s="17" t="s">
        <v>378</v>
      </c>
      <c r="P127" s="5" t="s">
        <v>26</v>
      </c>
      <c r="Q127" s="5"/>
    </row>
    <row r="128" spans="2:17" ht="80.099999999999994" customHeight="1" x14ac:dyDescent="0.3">
      <c r="B128" s="48">
        <v>121</v>
      </c>
      <c r="C128" s="5" t="s">
        <v>473</v>
      </c>
      <c r="D128" s="2" t="s">
        <v>341</v>
      </c>
      <c r="E128" s="15" t="s">
        <v>390</v>
      </c>
      <c r="F128" s="6" t="s">
        <v>21</v>
      </c>
      <c r="G128" s="12" t="s">
        <v>137</v>
      </c>
      <c r="H128" s="21" t="s">
        <v>243</v>
      </c>
      <c r="I128" s="14" t="s">
        <v>350</v>
      </c>
      <c r="J128" s="13">
        <v>45758</v>
      </c>
      <c r="K128" s="13">
        <v>46123</v>
      </c>
      <c r="L128" s="48" t="str">
        <f t="shared" ca="1" si="7"/>
        <v>PENDENTE</v>
      </c>
      <c r="M128" s="5" t="s">
        <v>391</v>
      </c>
      <c r="N128" s="5" t="s">
        <v>128</v>
      </c>
      <c r="O128" s="17" t="s">
        <v>378</v>
      </c>
      <c r="P128" s="5" t="s">
        <v>26</v>
      </c>
      <c r="Q128" s="5"/>
    </row>
    <row r="129" spans="2:17" ht="80.099999999999994" customHeight="1" x14ac:dyDescent="0.3">
      <c r="B129" s="48">
        <v>122</v>
      </c>
      <c r="C129" s="5" t="s">
        <v>473</v>
      </c>
      <c r="D129" s="2" t="s">
        <v>341</v>
      </c>
      <c r="E129" s="16" t="s">
        <v>474</v>
      </c>
      <c r="F129" s="6" t="s">
        <v>21</v>
      </c>
      <c r="G129" s="6" t="s">
        <v>137</v>
      </c>
      <c r="H129" s="7" t="s">
        <v>138</v>
      </c>
      <c r="I129" s="14" t="s">
        <v>475</v>
      </c>
      <c r="J129" s="13">
        <v>45761</v>
      </c>
      <c r="K129" s="13">
        <v>46126</v>
      </c>
      <c r="L129" s="48" t="str">
        <f t="shared" ca="1" si="7"/>
        <v>PENDENTE</v>
      </c>
      <c r="M129" s="5" t="s">
        <v>476</v>
      </c>
      <c r="N129" s="5" t="s">
        <v>128</v>
      </c>
      <c r="O129" s="17" t="s">
        <v>378</v>
      </c>
      <c r="P129" s="5" t="s">
        <v>26</v>
      </c>
      <c r="Q129" s="5"/>
    </row>
    <row r="130" spans="2:17" ht="80.099999999999994" customHeight="1" x14ac:dyDescent="0.3">
      <c r="B130" s="48">
        <v>123</v>
      </c>
      <c r="C130" s="5" t="s">
        <v>473</v>
      </c>
      <c r="D130" s="2" t="s">
        <v>341</v>
      </c>
      <c r="E130" s="15" t="s">
        <v>477</v>
      </c>
      <c r="F130" s="6" t="s">
        <v>21</v>
      </c>
      <c r="G130" s="6" t="s">
        <v>137</v>
      </c>
      <c r="H130" s="7" t="s">
        <v>144</v>
      </c>
      <c r="I130" s="14" t="s">
        <v>478</v>
      </c>
      <c r="J130" s="13">
        <v>45846</v>
      </c>
      <c r="K130" s="13">
        <v>46211</v>
      </c>
      <c r="L130" s="48" t="str">
        <f t="shared" ca="1" si="7"/>
        <v>OK</v>
      </c>
      <c r="M130" s="5" t="s">
        <v>479</v>
      </c>
      <c r="N130" s="5" t="s">
        <v>128</v>
      </c>
      <c r="O130" s="17" t="s">
        <v>378</v>
      </c>
      <c r="P130" s="5" t="s">
        <v>26</v>
      </c>
      <c r="Q130" s="5"/>
    </row>
    <row r="131" spans="2:17" ht="80.099999999999994" customHeight="1" x14ac:dyDescent="0.3">
      <c r="B131" s="48">
        <v>124</v>
      </c>
      <c r="C131" s="5" t="s">
        <v>473</v>
      </c>
      <c r="D131" s="2" t="s">
        <v>341</v>
      </c>
      <c r="E131" s="15" t="s">
        <v>480</v>
      </c>
      <c r="F131" s="6" t="s">
        <v>21</v>
      </c>
      <c r="G131" s="6" t="s">
        <v>137</v>
      </c>
      <c r="H131" s="7" t="s">
        <v>143</v>
      </c>
      <c r="I131" s="14" t="s">
        <v>481</v>
      </c>
      <c r="J131" s="13">
        <v>45841</v>
      </c>
      <c r="K131" s="13">
        <v>46206</v>
      </c>
      <c r="L131" s="48" t="str">
        <f t="shared" ca="1" si="7"/>
        <v>OK</v>
      </c>
      <c r="M131" s="5" t="s">
        <v>482</v>
      </c>
      <c r="N131" s="5" t="s">
        <v>128</v>
      </c>
      <c r="O131" s="17" t="s">
        <v>378</v>
      </c>
      <c r="P131" s="5" t="s">
        <v>26</v>
      </c>
      <c r="Q131" s="5"/>
    </row>
    <row r="132" spans="2:17" ht="80.099999999999994" customHeight="1" x14ac:dyDescent="0.3">
      <c r="B132" s="48">
        <v>125</v>
      </c>
      <c r="C132" s="5" t="s">
        <v>473</v>
      </c>
      <c r="D132" s="2" t="s">
        <v>341</v>
      </c>
      <c r="E132" s="15" t="s">
        <v>483</v>
      </c>
      <c r="F132" s="6" t="s">
        <v>21</v>
      </c>
      <c r="G132" s="6" t="s">
        <v>137</v>
      </c>
      <c r="H132" s="7" t="s">
        <v>388</v>
      </c>
      <c r="I132" s="14" t="s">
        <v>484</v>
      </c>
      <c r="J132" s="13">
        <v>45841</v>
      </c>
      <c r="K132" s="13">
        <v>46206</v>
      </c>
      <c r="L132" s="48" t="str">
        <f t="shared" ca="1" si="7"/>
        <v>OK</v>
      </c>
      <c r="M132" s="5" t="s">
        <v>485</v>
      </c>
      <c r="N132" s="5" t="s">
        <v>128</v>
      </c>
      <c r="O132" s="17" t="s">
        <v>378</v>
      </c>
      <c r="P132" s="5" t="s">
        <v>26</v>
      </c>
      <c r="Q132" s="5"/>
    </row>
    <row r="133" spans="2:17" ht="80.099999999999994" customHeight="1" x14ac:dyDescent="0.3">
      <c r="B133" s="48">
        <v>126</v>
      </c>
      <c r="C133" s="5" t="s">
        <v>473</v>
      </c>
      <c r="D133" s="2" t="s">
        <v>341</v>
      </c>
      <c r="E133" s="15" t="s">
        <v>486</v>
      </c>
      <c r="F133" s="6" t="s">
        <v>21</v>
      </c>
      <c r="G133" s="6" t="s">
        <v>137</v>
      </c>
      <c r="H133" s="7" t="s">
        <v>138</v>
      </c>
      <c r="I133" s="14">
        <v>8</v>
      </c>
      <c r="J133" s="13">
        <v>45845</v>
      </c>
      <c r="K133" s="13">
        <v>46210</v>
      </c>
      <c r="L133" s="48" t="str">
        <f t="shared" ca="1" si="7"/>
        <v>OK</v>
      </c>
      <c r="M133" s="5" t="s">
        <v>487</v>
      </c>
      <c r="N133" s="5" t="s">
        <v>128</v>
      </c>
      <c r="O133" s="17" t="s">
        <v>378</v>
      </c>
      <c r="P133" s="5" t="s">
        <v>26</v>
      </c>
      <c r="Q133" s="5"/>
    </row>
    <row r="134" spans="2:17" ht="80.099999999999994" customHeight="1" x14ac:dyDescent="0.3">
      <c r="B134" s="48">
        <v>127</v>
      </c>
      <c r="C134" s="5" t="s">
        <v>473</v>
      </c>
      <c r="D134" s="2" t="s">
        <v>341</v>
      </c>
      <c r="E134" s="15" t="s">
        <v>488</v>
      </c>
      <c r="F134" s="6" t="s">
        <v>21</v>
      </c>
      <c r="G134" s="6" t="s">
        <v>137</v>
      </c>
      <c r="H134" s="7" t="s">
        <v>144</v>
      </c>
      <c r="I134" s="14" t="s">
        <v>489</v>
      </c>
      <c r="J134" s="13">
        <v>45842</v>
      </c>
      <c r="K134" s="13">
        <v>46207</v>
      </c>
      <c r="L134" s="48" t="str">
        <f t="shared" ca="1" si="7"/>
        <v>OK</v>
      </c>
      <c r="M134" s="5" t="s">
        <v>490</v>
      </c>
      <c r="N134" s="5" t="s">
        <v>128</v>
      </c>
      <c r="O134" s="17" t="s">
        <v>378</v>
      </c>
      <c r="P134" s="5" t="s">
        <v>26</v>
      </c>
      <c r="Q134" s="5"/>
    </row>
    <row r="135" spans="2:17" ht="80.099999999999994" customHeight="1" x14ac:dyDescent="0.3">
      <c r="B135" s="48">
        <v>128</v>
      </c>
      <c r="C135" s="5" t="s">
        <v>473</v>
      </c>
      <c r="D135" s="2" t="s">
        <v>341</v>
      </c>
      <c r="E135" s="15" t="s">
        <v>491</v>
      </c>
      <c r="F135" s="6" t="s">
        <v>21</v>
      </c>
      <c r="G135" s="6" t="s">
        <v>137</v>
      </c>
      <c r="H135" s="7" t="s">
        <v>144</v>
      </c>
      <c r="I135" s="14" t="s">
        <v>492</v>
      </c>
      <c r="J135" s="13">
        <v>45842</v>
      </c>
      <c r="K135" s="13">
        <v>46207</v>
      </c>
      <c r="L135" s="48" t="str">
        <f t="shared" ca="1" si="7"/>
        <v>OK</v>
      </c>
      <c r="M135" s="5" t="s">
        <v>493</v>
      </c>
      <c r="N135" s="5" t="s">
        <v>128</v>
      </c>
      <c r="O135" s="17" t="s">
        <v>378</v>
      </c>
      <c r="P135" s="5" t="s">
        <v>26</v>
      </c>
      <c r="Q135" s="5"/>
    </row>
    <row r="136" spans="2:17" ht="80.099999999999994" customHeight="1" x14ac:dyDescent="0.3">
      <c r="B136" s="48">
        <v>129</v>
      </c>
      <c r="C136" s="5" t="s">
        <v>473</v>
      </c>
      <c r="D136" s="2" t="s">
        <v>341</v>
      </c>
      <c r="E136" s="15" t="s">
        <v>494</v>
      </c>
      <c r="F136" s="6" t="s">
        <v>21</v>
      </c>
      <c r="G136" s="6" t="s">
        <v>137</v>
      </c>
      <c r="H136" s="7" t="s">
        <v>388</v>
      </c>
      <c r="I136" s="14" t="s">
        <v>495</v>
      </c>
      <c r="J136" s="13">
        <v>45841</v>
      </c>
      <c r="K136" s="13">
        <v>46206</v>
      </c>
      <c r="L136" s="48" t="str">
        <f t="shared" ca="1" si="7"/>
        <v>OK</v>
      </c>
      <c r="M136" s="5" t="s">
        <v>496</v>
      </c>
      <c r="N136" s="5" t="s">
        <v>128</v>
      </c>
      <c r="O136" s="17" t="s">
        <v>378</v>
      </c>
      <c r="P136" s="5" t="s">
        <v>26</v>
      </c>
      <c r="Q136" s="5"/>
    </row>
    <row r="137" spans="2:17" ht="80.099999999999994" customHeight="1" x14ac:dyDescent="0.3">
      <c r="B137" s="48">
        <v>130</v>
      </c>
      <c r="C137" s="5" t="s">
        <v>473</v>
      </c>
      <c r="D137" s="2" t="s">
        <v>341</v>
      </c>
      <c r="E137" s="15" t="s">
        <v>497</v>
      </c>
      <c r="F137" s="6" t="s">
        <v>21</v>
      </c>
      <c r="G137" s="6" t="s">
        <v>137</v>
      </c>
      <c r="H137" s="7" t="s">
        <v>144</v>
      </c>
      <c r="I137" s="14" t="s">
        <v>498</v>
      </c>
      <c r="J137" s="13">
        <v>45762</v>
      </c>
      <c r="K137" s="13">
        <v>46127</v>
      </c>
      <c r="L137" s="48" t="str">
        <f t="shared" ca="1" si="7"/>
        <v>PENDENTE</v>
      </c>
      <c r="M137" s="5" t="s">
        <v>499</v>
      </c>
      <c r="N137" s="5" t="s">
        <v>128</v>
      </c>
      <c r="O137" s="17" t="s">
        <v>378</v>
      </c>
      <c r="P137" s="5" t="s">
        <v>26</v>
      </c>
      <c r="Q137" s="5"/>
    </row>
    <row r="138" spans="2:17" ht="80.099999999999994" customHeight="1" x14ac:dyDescent="0.3">
      <c r="B138" s="48">
        <v>131</v>
      </c>
      <c r="C138" s="5" t="s">
        <v>473</v>
      </c>
      <c r="D138" s="2" t="s">
        <v>341</v>
      </c>
      <c r="E138" s="15" t="s">
        <v>500</v>
      </c>
      <c r="F138" s="6" t="s">
        <v>21</v>
      </c>
      <c r="G138" s="6" t="s">
        <v>137</v>
      </c>
      <c r="H138" s="7" t="s">
        <v>146</v>
      </c>
      <c r="I138" s="14" t="s">
        <v>501</v>
      </c>
      <c r="J138" s="13">
        <v>45845</v>
      </c>
      <c r="K138" s="13">
        <v>46210</v>
      </c>
      <c r="L138" s="48" t="str">
        <f t="shared" ca="1" si="7"/>
        <v>OK</v>
      </c>
      <c r="M138" s="5" t="s">
        <v>502</v>
      </c>
      <c r="N138" s="5" t="s">
        <v>128</v>
      </c>
      <c r="O138" s="17" t="s">
        <v>378</v>
      </c>
      <c r="P138" s="5" t="s">
        <v>26</v>
      </c>
      <c r="Q138" s="5"/>
    </row>
    <row r="139" spans="2:17" ht="80.099999999999994" customHeight="1" x14ac:dyDescent="0.3">
      <c r="B139" s="48">
        <v>132</v>
      </c>
      <c r="C139" s="5" t="s">
        <v>473</v>
      </c>
      <c r="D139" s="2" t="s">
        <v>341</v>
      </c>
      <c r="E139" s="15" t="s">
        <v>503</v>
      </c>
      <c r="F139" s="6" t="s">
        <v>21</v>
      </c>
      <c r="G139" s="6" t="s">
        <v>137</v>
      </c>
      <c r="H139" s="7" t="s">
        <v>388</v>
      </c>
      <c r="I139" s="14" t="s">
        <v>350</v>
      </c>
      <c r="J139" s="13">
        <v>45841</v>
      </c>
      <c r="K139" s="13">
        <v>46206</v>
      </c>
      <c r="L139" s="48" t="str">
        <f t="shared" ca="1" si="7"/>
        <v>OK</v>
      </c>
      <c r="M139" s="5" t="s">
        <v>504</v>
      </c>
      <c r="N139" s="5" t="s">
        <v>128</v>
      </c>
      <c r="O139" s="17" t="s">
        <v>378</v>
      </c>
      <c r="P139" s="5" t="s">
        <v>26</v>
      </c>
      <c r="Q139" s="5"/>
    </row>
    <row r="140" spans="2:17" ht="80.099999999999994" customHeight="1" x14ac:dyDescent="0.3">
      <c r="B140" s="48">
        <v>133</v>
      </c>
      <c r="C140" s="5" t="s">
        <v>473</v>
      </c>
      <c r="D140" s="2" t="s">
        <v>341</v>
      </c>
      <c r="E140" s="15" t="s">
        <v>505</v>
      </c>
      <c r="F140" s="6" t="s">
        <v>21</v>
      </c>
      <c r="G140" s="12" t="s">
        <v>137</v>
      </c>
      <c r="H140" s="21" t="s">
        <v>388</v>
      </c>
      <c r="I140" s="14" t="s">
        <v>506</v>
      </c>
      <c r="J140" s="13">
        <v>45841</v>
      </c>
      <c r="K140" s="13">
        <v>46206</v>
      </c>
      <c r="L140" s="48" t="str">
        <f t="shared" ca="1" si="7"/>
        <v>OK</v>
      </c>
      <c r="M140" s="5" t="s">
        <v>507</v>
      </c>
      <c r="N140" s="5" t="s">
        <v>128</v>
      </c>
      <c r="O140" s="17" t="s">
        <v>378</v>
      </c>
      <c r="P140" s="5" t="s">
        <v>26</v>
      </c>
      <c r="Q140" s="5"/>
    </row>
    <row r="141" spans="2:17" ht="80.099999999999994" customHeight="1" x14ac:dyDescent="0.3">
      <c r="B141" s="57">
        <v>134</v>
      </c>
      <c r="C141" s="57" t="s">
        <v>125</v>
      </c>
      <c r="D141" s="58" t="s">
        <v>341</v>
      </c>
      <c r="E141" s="59" t="s">
        <v>392</v>
      </c>
      <c r="F141" s="60" t="s">
        <v>21</v>
      </c>
      <c r="G141" s="61" t="s">
        <v>155</v>
      </c>
      <c r="H141" s="67" t="s">
        <v>156</v>
      </c>
      <c r="I141" s="65" t="s">
        <v>350</v>
      </c>
      <c r="J141" s="63">
        <v>45533</v>
      </c>
      <c r="K141" s="63">
        <v>45898</v>
      </c>
      <c r="L141" s="57" t="s">
        <v>600</v>
      </c>
      <c r="M141" s="57" t="s">
        <v>393</v>
      </c>
      <c r="N141" s="57" t="s">
        <v>128</v>
      </c>
      <c r="O141" s="64"/>
      <c r="P141" s="57" t="s">
        <v>26</v>
      </c>
      <c r="Q141" s="71" t="s">
        <v>523</v>
      </c>
    </row>
    <row r="142" spans="2:17" ht="80.099999999999994" customHeight="1" x14ac:dyDescent="0.3">
      <c r="B142" s="57">
        <v>135</v>
      </c>
      <c r="C142" s="57" t="s">
        <v>125</v>
      </c>
      <c r="D142" s="58" t="s">
        <v>341</v>
      </c>
      <c r="E142" s="59" t="s">
        <v>394</v>
      </c>
      <c r="F142" s="60" t="s">
        <v>21</v>
      </c>
      <c r="G142" s="61" t="s">
        <v>155</v>
      </c>
      <c r="H142" s="67" t="s">
        <v>156</v>
      </c>
      <c r="I142" s="65" t="s">
        <v>350</v>
      </c>
      <c r="J142" s="63">
        <v>45534</v>
      </c>
      <c r="K142" s="63">
        <v>45899</v>
      </c>
      <c r="L142" s="57" t="s">
        <v>600</v>
      </c>
      <c r="M142" s="57" t="s">
        <v>395</v>
      </c>
      <c r="N142" s="57" t="s">
        <v>128</v>
      </c>
      <c r="O142" s="64"/>
      <c r="P142" s="57" t="s">
        <v>26</v>
      </c>
      <c r="Q142" s="71" t="s">
        <v>523</v>
      </c>
    </row>
    <row r="143" spans="2:17" ht="80.099999999999994" customHeight="1" x14ac:dyDescent="0.3">
      <c r="B143" s="57">
        <v>136</v>
      </c>
      <c r="C143" s="57" t="s">
        <v>125</v>
      </c>
      <c r="D143" s="58" t="s">
        <v>341</v>
      </c>
      <c r="E143" s="59" t="s">
        <v>396</v>
      </c>
      <c r="F143" s="60" t="s">
        <v>21</v>
      </c>
      <c r="G143" s="61" t="s">
        <v>155</v>
      </c>
      <c r="H143" s="67" t="s">
        <v>156</v>
      </c>
      <c r="I143" s="65" t="s">
        <v>350</v>
      </c>
      <c r="J143" s="63">
        <v>45534</v>
      </c>
      <c r="K143" s="63">
        <v>45899</v>
      </c>
      <c r="L143" s="57" t="s">
        <v>600</v>
      </c>
      <c r="M143" s="57" t="s">
        <v>397</v>
      </c>
      <c r="N143" s="57" t="s">
        <v>128</v>
      </c>
      <c r="O143" s="64"/>
      <c r="P143" s="57" t="s">
        <v>26</v>
      </c>
      <c r="Q143" s="71" t="s">
        <v>523</v>
      </c>
    </row>
    <row r="144" spans="2:17" ht="80.099999999999994" customHeight="1" x14ac:dyDescent="0.3">
      <c r="B144" s="57">
        <v>137</v>
      </c>
      <c r="C144" s="57" t="s">
        <v>125</v>
      </c>
      <c r="D144" s="58" t="s">
        <v>341</v>
      </c>
      <c r="E144" s="59" t="s">
        <v>398</v>
      </c>
      <c r="F144" s="60" t="s">
        <v>21</v>
      </c>
      <c r="G144" s="61" t="s">
        <v>155</v>
      </c>
      <c r="H144" s="67" t="s">
        <v>156</v>
      </c>
      <c r="I144" s="65" t="s">
        <v>350</v>
      </c>
      <c r="J144" s="63">
        <v>45534</v>
      </c>
      <c r="K144" s="63">
        <v>45899</v>
      </c>
      <c r="L144" s="57" t="s">
        <v>600</v>
      </c>
      <c r="M144" s="57" t="s">
        <v>399</v>
      </c>
      <c r="N144" s="57" t="s">
        <v>128</v>
      </c>
      <c r="O144" s="64"/>
      <c r="P144" s="57" t="s">
        <v>26</v>
      </c>
      <c r="Q144" s="71" t="s">
        <v>523</v>
      </c>
    </row>
    <row r="145" spans="2:17" ht="80.099999999999994" customHeight="1" x14ac:dyDescent="0.3">
      <c r="B145" s="57">
        <v>138</v>
      </c>
      <c r="C145" s="57" t="s">
        <v>125</v>
      </c>
      <c r="D145" s="58" t="s">
        <v>341</v>
      </c>
      <c r="E145" s="59" t="s">
        <v>402</v>
      </c>
      <c r="F145" s="60" t="s">
        <v>21</v>
      </c>
      <c r="G145" s="61" t="s">
        <v>155</v>
      </c>
      <c r="H145" s="67" t="s">
        <v>156</v>
      </c>
      <c r="I145" s="65" t="s">
        <v>350</v>
      </c>
      <c r="J145" s="63">
        <v>45535</v>
      </c>
      <c r="K145" s="63">
        <v>45900</v>
      </c>
      <c r="L145" s="57" t="s">
        <v>600</v>
      </c>
      <c r="M145" s="57" t="s">
        <v>400</v>
      </c>
      <c r="N145" s="57" t="s">
        <v>128</v>
      </c>
      <c r="O145" s="64"/>
      <c r="P145" s="57" t="s">
        <v>26</v>
      </c>
      <c r="Q145" s="71" t="s">
        <v>523</v>
      </c>
    </row>
    <row r="146" spans="2:17" ht="80.099999999999994" customHeight="1" x14ac:dyDescent="0.3">
      <c r="B146" s="57">
        <v>139</v>
      </c>
      <c r="C146" s="57" t="s">
        <v>125</v>
      </c>
      <c r="D146" s="58" t="s">
        <v>341</v>
      </c>
      <c r="E146" s="59" t="s">
        <v>401</v>
      </c>
      <c r="F146" s="60" t="s">
        <v>21</v>
      </c>
      <c r="G146" s="61" t="s">
        <v>155</v>
      </c>
      <c r="H146" s="67" t="s">
        <v>156</v>
      </c>
      <c r="I146" s="65" t="s">
        <v>350</v>
      </c>
      <c r="J146" s="63">
        <v>45535</v>
      </c>
      <c r="K146" s="63">
        <v>45900</v>
      </c>
      <c r="L146" s="57" t="s">
        <v>600</v>
      </c>
      <c r="M146" s="57" t="s">
        <v>403</v>
      </c>
      <c r="N146" s="57" t="s">
        <v>128</v>
      </c>
      <c r="O146" s="64"/>
      <c r="P146" s="57" t="s">
        <v>26</v>
      </c>
      <c r="Q146" s="71" t="s">
        <v>523</v>
      </c>
    </row>
    <row r="147" spans="2:17" ht="80.099999999999994" customHeight="1" x14ac:dyDescent="0.3">
      <c r="B147" s="48">
        <v>140</v>
      </c>
      <c r="C147" s="5" t="s">
        <v>125</v>
      </c>
      <c r="D147" s="2" t="s">
        <v>341</v>
      </c>
      <c r="E147" s="16" t="s">
        <v>404</v>
      </c>
      <c r="F147" s="6" t="s">
        <v>21</v>
      </c>
      <c r="G147" s="12" t="s">
        <v>158</v>
      </c>
      <c r="H147" s="21" t="s">
        <v>159</v>
      </c>
      <c r="I147" s="14" t="s">
        <v>350</v>
      </c>
      <c r="J147" s="13">
        <v>45777</v>
      </c>
      <c r="K147" s="13">
        <v>46142</v>
      </c>
      <c r="L147" s="48" t="str">
        <f t="shared" ref="L147:L158" ca="1" si="8">IF(TODAY()&lt;K147,"OK","PENDENTE")</f>
        <v>PENDENTE</v>
      </c>
      <c r="M147" s="5" t="s">
        <v>405</v>
      </c>
      <c r="N147" s="5" t="s">
        <v>128</v>
      </c>
      <c r="O147" s="17" t="s">
        <v>359</v>
      </c>
      <c r="P147" s="5" t="s">
        <v>26</v>
      </c>
      <c r="Q147" s="5"/>
    </row>
    <row r="148" spans="2:17" ht="80.099999999999994" customHeight="1" x14ac:dyDescent="0.3">
      <c r="B148" s="48">
        <v>141</v>
      </c>
      <c r="C148" s="5" t="s">
        <v>125</v>
      </c>
      <c r="D148" s="2" t="s">
        <v>341</v>
      </c>
      <c r="E148" s="16" t="s">
        <v>406</v>
      </c>
      <c r="F148" s="6" t="s">
        <v>21</v>
      </c>
      <c r="G148" s="12" t="s">
        <v>158</v>
      </c>
      <c r="H148" s="21" t="s">
        <v>159</v>
      </c>
      <c r="I148" s="14" t="s">
        <v>350</v>
      </c>
      <c r="J148" s="13">
        <v>45777</v>
      </c>
      <c r="K148" s="13">
        <v>46142</v>
      </c>
      <c r="L148" s="48" t="str">
        <f t="shared" ca="1" si="8"/>
        <v>PENDENTE</v>
      </c>
      <c r="M148" s="5" t="s">
        <v>407</v>
      </c>
      <c r="N148" s="5" t="s">
        <v>128</v>
      </c>
      <c r="O148" s="17" t="s">
        <v>359</v>
      </c>
      <c r="P148" s="5" t="s">
        <v>26</v>
      </c>
      <c r="Q148" s="5"/>
    </row>
    <row r="149" spans="2:17" ht="80.099999999999994" customHeight="1" x14ac:dyDescent="0.3">
      <c r="B149" s="48">
        <v>142</v>
      </c>
      <c r="C149" s="5" t="s">
        <v>125</v>
      </c>
      <c r="D149" s="2" t="s">
        <v>341</v>
      </c>
      <c r="E149" s="15" t="s">
        <v>408</v>
      </c>
      <c r="F149" s="6" t="s">
        <v>21</v>
      </c>
      <c r="G149" s="12" t="s">
        <v>160</v>
      </c>
      <c r="H149" s="21" t="s">
        <v>409</v>
      </c>
      <c r="I149" s="14" t="s">
        <v>350</v>
      </c>
      <c r="J149" s="13">
        <v>45793</v>
      </c>
      <c r="K149" s="13">
        <v>46158</v>
      </c>
      <c r="L149" s="48" t="str">
        <f t="shared" ca="1" si="8"/>
        <v>PENDENTE</v>
      </c>
      <c r="M149" s="5" t="s">
        <v>410</v>
      </c>
      <c r="N149" s="5" t="s">
        <v>128</v>
      </c>
      <c r="O149" s="17" t="s">
        <v>411</v>
      </c>
      <c r="P149" s="5" t="s">
        <v>26</v>
      </c>
      <c r="Q149" s="5"/>
    </row>
    <row r="150" spans="2:17" ht="80.099999999999994" customHeight="1" x14ac:dyDescent="0.3">
      <c r="B150" s="48">
        <v>143</v>
      </c>
      <c r="C150" s="5" t="s">
        <v>412</v>
      </c>
      <c r="D150" s="2" t="s">
        <v>509</v>
      </c>
      <c r="E150" s="15" t="s">
        <v>413</v>
      </c>
      <c r="F150" s="6" t="s">
        <v>21</v>
      </c>
      <c r="G150" s="12" t="s">
        <v>206</v>
      </c>
      <c r="H150" s="21" t="s">
        <v>207</v>
      </c>
      <c r="I150" s="14" t="s">
        <v>208</v>
      </c>
      <c r="J150" s="13">
        <v>45926</v>
      </c>
      <c r="K150" s="13">
        <v>46291</v>
      </c>
      <c r="L150" s="48" t="str">
        <f t="shared" ca="1" si="8"/>
        <v>OK</v>
      </c>
      <c r="M150" s="5" t="s">
        <v>414</v>
      </c>
      <c r="N150" s="5" t="s">
        <v>210</v>
      </c>
      <c r="O150" s="56" t="s">
        <v>415</v>
      </c>
      <c r="P150" s="5" t="s">
        <v>26</v>
      </c>
      <c r="Q150" s="5"/>
    </row>
    <row r="151" spans="2:17" ht="80.099999999999994" customHeight="1" x14ac:dyDescent="0.3">
      <c r="B151" s="48">
        <v>144</v>
      </c>
      <c r="C151" s="5" t="s">
        <v>412</v>
      </c>
      <c r="D151" s="2" t="s">
        <v>509</v>
      </c>
      <c r="E151" s="15" t="s">
        <v>416</v>
      </c>
      <c r="F151" s="6" t="s">
        <v>21</v>
      </c>
      <c r="G151" s="12" t="s">
        <v>206</v>
      </c>
      <c r="H151" s="21" t="s">
        <v>207</v>
      </c>
      <c r="I151" s="14" t="s">
        <v>208</v>
      </c>
      <c r="J151" s="13">
        <v>45933</v>
      </c>
      <c r="K151" s="13">
        <v>46298</v>
      </c>
      <c r="L151" s="48" t="str">
        <f t="shared" ca="1" si="8"/>
        <v>OK</v>
      </c>
      <c r="M151" s="5" t="s">
        <v>417</v>
      </c>
      <c r="N151" s="5" t="s">
        <v>210</v>
      </c>
      <c r="O151" s="56" t="s">
        <v>415</v>
      </c>
      <c r="P151" s="5" t="s">
        <v>26</v>
      </c>
      <c r="Q151" s="5"/>
    </row>
    <row r="152" spans="2:17" ht="80.099999999999994" customHeight="1" x14ac:dyDescent="0.3">
      <c r="B152" s="48">
        <v>145</v>
      </c>
      <c r="C152" s="5" t="s">
        <v>412</v>
      </c>
      <c r="D152" s="2" t="s">
        <v>509</v>
      </c>
      <c r="E152" s="15" t="s">
        <v>418</v>
      </c>
      <c r="F152" s="6" t="s">
        <v>21</v>
      </c>
      <c r="G152" s="12" t="s">
        <v>206</v>
      </c>
      <c r="H152" s="21" t="s">
        <v>207</v>
      </c>
      <c r="I152" s="14" t="s">
        <v>208</v>
      </c>
      <c r="J152" s="13">
        <v>45890</v>
      </c>
      <c r="K152" s="13">
        <v>46255</v>
      </c>
      <c r="L152" s="48" t="str">
        <f t="shared" ca="1" si="8"/>
        <v>OK</v>
      </c>
      <c r="M152" s="5" t="s">
        <v>419</v>
      </c>
      <c r="N152" s="5" t="s">
        <v>210</v>
      </c>
      <c r="O152" s="56" t="s">
        <v>415</v>
      </c>
      <c r="P152" s="5" t="s">
        <v>26</v>
      </c>
      <c r="Q152" s="5"/>
    </row>
    <row r="153" spans="2:17" ht="80.099999999999994" customHeight="1" x14ac:dyDescent="0.3">
      <c r="B153" s="48">
        <v>146</v>
      </c>
      <c r="C153" s="5" t="s">
        <v>412</v>
      </c>
      <c r="D153" s="2" t="s">
        <v>509</v>
      </c>
      <c r="E153" s="15" t="s">
        <v>420</v>
      </c>
      <c r="F153" s="6" t="s">
        <v>21</v>
      </c>
      <c r="G153" s="12" t="s">
        <v>206</v>
      </c>
      <c r="H153" s="21" t="s">
        <v>207</v>
      </c>
      <c r="I153" s="14" t="s">
        <v>208</v>
      </c>
      <c r="J153" s="13">
        <v>45929</v>
      </c>
      <c r="K153" s="13">
        <v>46294</v>
      </c>
      <c r="L153" s="48" t="str">
        <f t="shared" ca="1" si="8"/>
        <v>OK</v>
      </c>
      <c r="M153" s="5" t="s">
        <v>421</v>
      </c>
      <c r="N153" s="5" t="s">
        <v>210</v>
      </c>
      <c r="O153" s="56" t="s">
        <v>415</v>
      </c>
      <c r="P153" s="5" t="s">
        <v>26</v>
      </c>
      <c r="Q153" s="5"/>
    </row>
    <row r="154" spans="2:17" ht="80.099999999999994" customHeight="1" x14ac:dyDescent="0.3">
      <c r="B154" s="48">
        <v>147</v>
      </c>
      <c r="C154" s="5" t="s">
        <v>412</v>
      </c>
      <c r="D154" s="2" t="s">
        <v>509</v>
      </c>
      <c r="E154" s="15" t="s">
        <v>422</v>
      </c>
      <c r="F154" s="6" t="s">
        <v>21</v>
      </c>
      <c r="G154" s="12" t="s">
        <v>206</v>
      </c>
      <c r="H154" s="21" t="s">
        <v>207</v>
      </c>
      <c r="I154" s="14" t="s">
        <v>208</v>
      </c>
      <c r="J154" s="13">
        <v>45930</v>
      </c>
      <c r="K154" s="13">
        <v>46295</v>
      </c>
      <c r="L154" s="48" t="str">
        <f t="shared" ca="1" si="8"/>
        <v>OK</v>
      </c>
      <c r="M154" s="5" t="s">
        <v>423</v>
      </c>
      <c r="N154" s="5" t="s">
        <v>210</v>
      </c>
      <c r="O154" s="56" t="s">
        <v>415</v>
      </c>
      <c r="P154" s="5" t="s">
        <v>26</v>
      </c>
      <c r="Q154" s="5"/>
    </row>
    <row r="155" spans="2:17" ht="80.099999999999994" customHeight="1" x14ac:dyDescent="0.3">
      <c r="B155" s="48">
        <v>148</v>
      </c>
      <c r="C155" s="5" t="s">
        <v>412</v>
      </c>
      <c r="D155" s="2" t="s">
        <v>509</v>
      </c>
      <c r="E155" s="15" t="s">
        <v>424</v>
      </c>
      <c r="F155" s="6" t="s">
        <v>21</v>
      </c>
      <c r="G155" s="12" t="s">
        <v>206</v>
      </c>
      <c r="H155" s="21" t="s">
        <v>207</v>
      </c>
      <c r="I155" s="14" t="s">
        <v>208</v>
      </c>
      <c r="J155" s="13">
        <v>45932</v>
      </c>
      <c r="K155" s="13">
        <v>46297</v>
      </c>
      <c r="L155" s="48" t="str">
        <f t="shared" ca="1" si="8"/>
        <v>OK</v>
      </c>
      <c r="M155" s="5" t="s">
        <v>425</v>
      </c>
      <c r="N155" s="5" t="s">
        <v>210</v>
      </c>
      <c r="O155" s="56" t="s">
        <v>415</v>
      </c>
      <c r="P155" s="5" t="s">
        <v>26</v>
      </c>
      <c r="Q155" s="5"/>
    </row>
    <row r="156" spans="2:17" ht="80.099999999999994" customHeight="1" x14ac:dyDescent="0.3">
      <c r="B156" s="48">
        <v>149</v>
      </c>
      <c r="C156" s="5" t="s">
        <v>412</v>
      </c>
      <c r="D156" s="2" t="s">
        <v>509</v>
      </c>
      <c r="E156" s="15" t="s">
        <v>426</v>
      </c>
      <c r="F156" s="6" t="s">
        <v>21</v>
      </c>
      <c r="G156" s="12" t="s">
        <v>206</v>
      </c>
      <c r="H156" s="21" t="s">
        <v>207</v>
      </c>
      <c r="I156" s="14" t="s">
        <v>208</v>
      </c>
      <c r="J156" s="13">
        <v>45933</v>
      </c>
      <c r="K156" s="13">
        <v>46298</v>
      </c>
      <c r="L156" s="48" t="str">
        <f t="shared" ca="1" si="8"/>
        <v>OK</v>
      </c>
      <c r="M156" s="5" t="s">
        <v>427</v>
      </c>
      <c r="N156" s="5" t="s">
        <v>210</v>
      </c>
      <c r="O156" s="56" t="s">
        <v>415</v>
      </c>
      <c r="P156" s="5" t="s">
        <v>26</v>
      </c>
      <c r="Q156" s="5"/>
    </row>
    <row r="157" spans="2:17" ht="80.099999999999994" customHeight="1" x14ac:dyDescent="0.3">
      <c r="B157" s="48">
        <v>150</v>
      </c>
      <c r="C157" s="5" t="s">
        <v>412</v>
      </c>
      <c r="D157" s="2" t="s">
        <v>509</v>
      </c>
      <c r="E157" s="15" t="s">
        <v>428</v>
      </c>
      <c r="F157" s="6" t="s">
        <v>21</v>
      </c>
      <c r="G157" s="12" t="s">
        <v>206</v>
      </c>
      <c r="H157" s="21" t="s">
        <v>207</v>
      </c>
      <c r="I157" s="14" t="s">
        <v>208</v>
      </c>
      <c r="J157" s="13">
        <v>45937</v>
      </c>
      <c r="K157" s="13">
        <v>46302</v>
      </c>
      <c r="L157" s="48" t="str">
        <f t="shared" ca="1" si="8"/>
        <v>OK</v>
      </c>
      <c r="M157" s="5" t="s">
        <v>429</v>
      </c>
      <c r="N157" s="5" t="s">
        <v>210</v>
      </c>
      <c r="O157" s="56" t="s">
        <v>415</v>
      </c>
      <c r="P157" s="5" t="s">
        <v>26</v>
      </c>
      <c r="Q157" s="5"/>
    </row>
    <row r="158" spans="2:17" ht="80.099999999999994" customHeight="1" x14ac:dyDescent="0.3">
      <c r="B158" s="48">
        <v>151</v>
      </c>
      <c r="C158" s="5" t="s">
        <v>260</v>
      </c>
      <c r="D158" s="2" t="s">
        <v>509</v>
      </c>
      <c r="E158" s="16" t="s">
        <v>430</v>
      </c>
      <c r="F158" s="6" t="s">
        <v>21</v>
      </c>
      <c r="G158" s="12" t="s">
        <v>431</v>
      </c>
      <c r="H158" s="21" t="s">
        <v>432</v>
      </c>
      <c r="I158" s="14" t="s">
        <v>350</v>
      </c>
      <c r="J158" s="13">
        <v>45861</v>
      </c>
      <c r="K158" s="13">
        <v>46226</v>
      </c>
      <c r="L158" s="48" t="str">
        <f t="shared" ca="1" si="8"/>
        <v>OK</v>
      </c>
      <c r="M158" s="5" t="s">
        <v>433</v>
      </c>
      <c r="N158" s="14" t="s">
        <v>434</v>
      </c>
      <c r="O158" s="17" t="s">
        <v>435</v>
      </c>
      <c r="P158" s="5" t="s">
        <v>26</v>
      </c>
      <c r="Q158" s="5"/>
    </row>
    <row r="159" spans="2:17" ht="80.099999999999994" customHeight="1" x14ac:dyDescent="0.3">
      <c r="B159" s="57">
        <v>152</v>
      </c>
      <c r="C159" s="57" t="s">
        <v>260</v>
      </c>
      <c r="D159" s="58" t="s">
        <v>436</v>
      </c>
      <c r="E159" s="70" t="s">
        <v>437</v>
      </c>
      <c r="F159" s="60" t="s">
        <v>21</v>
      </c>
      <c r="G159" s="61" t="s">
        <v>438</v>
      </c>
      <c r="H159" s="67" t="s">
        <v>439</v>
      </c>
      <c r="I159" s="65" t="s">
        <v>440</v>
      </c>
      <c r="J159" s="63">
        <v>45595</v>
      </c>
      <c r="K159" s="63">
        <v>45960</v>
      </c>
      <c r="L159" s="57" t="s">
        <v>600</v>
      </c>
      <c r="M159" s="57" t="s">
        <v>441</v>
      </c>
      <c r="N159" s="65" t="s">
        <v>62</v>
      </c>
      <c r="O159" s="64" t="s">
        <v>435</v>
      </c>
      <c r="P159" s="57" t="s">
        <v>26</v>
      </c>
      <c r="Q159" s="71" t="s">
        <v>523</v>
      </c>
    </row>
    <row r="160" spans="2:17" ht="80.099999999999994" customHeight="1" x14ac:dyDescent="0.3">
      <c r="B160" s="48">
        <v>153</v>
      </c>
      <c r="C160" s="5" t="s">
        <v>449</v>
      </c>
      <c r="D160" s="2" t="s">
        <v>442</v>
      </c>
      <c r="E160" s="15" t="s">
        <v>443</v>
      </c>
      <c r="F160" s="6" t="s">
        <v>21</v>
      </c>
      <c r="G160" s="12" t="s">
        <v>444</v>
      </c>
      <c r="H160" s="21" t="s">
        <v>243</v>
      </c>
      <c r="I160" s="14" t="s">
        <v>445</v>
      </c>
      <c r="J160" s="13">
        <v>45755</v>
      </c>
      <c r="K160" s="13">
        <v>46120</v>
      </c>
      <c r="L160" s="48" t="str">
        <f t="shared" ref="L160:L207" ca="1" si="9">IF(TODAY()&lt;K160,"OK","PENDENTE")</f>
        <v>PENDENTE</v>
      </c>
      <c r="M160" s="5" t="s">
        <v>443</v>
      </c>
      <c r="N160" s="14" t="s">
        <v>446</v>
      </c>
      <c r="O160" s="17" t="s">
        <v>450</v>
      </c>
      <c r="P160" s="5" t="s">
        <v>26</v>
      </c>
      <c r="Q160" s="5"/>
    </row>
    <row r="161" spans="2:17" ht="80.099999999999994" customHeight="1" x14ac:dyDescent="0.3">
      <c r="B161" s="48">
        <v>154</v>
      </c>
      <c r="C161" s="5" t="s">
        <v>449</v>
      </c>
      <c r="D161" s="2" t="s">
        <v>442</v>
      </c>
      <c r="E161" s="15" t="s">
        <v>447</v>
      </c>
      <c r="F161" s="6" t="s">
        <v>21</v>
      </c>
      <c r="G161" s="12" t="s">
        <v>444</v>
      </c>
      <c r="H161" s="21" t="s">
        <v>243</v>
      </c>
      <c r="I161" s="14" t="s">
        <v>448</v>
      </c>
      <c r="J161" s="13">
        <v>45755</v>
      </c>
      <c r="K161" s="13">
        <v>46120</v>
      </c>
      <c r="L161" s="48" t="str">
        <f t="shared" ca="1" si="9"/>
        <v>PENDENTE</v>
      </c>
      <c r="M161" s="15" t="s">
        <v>447</v>
      </c>
      <c r="N161" s="14" t="s">
        <v>446</v>
      </c>
      <c r="O161" s="17" t="s">
        <v>450</v>
      </c>
      <c r="P161" s="5" t="s">
        <v>26</v>
      </c>
      <c r="Q161" s="5"/>
    </row>
    <row r="162" spans="2:17" ht="80.099999999999994" customHeight="1" x14ac:dyDescent="0.3">
      <c r="B162" s="48">
        <v>155</v>
      </c>
      <c r="C162" s="5" t="s">
        <v>20</v>
      </c>
      <c r="D162" s="2" t="s">
        <v>451</v>
      </c>
      <c r="E162" s="16" t="s">
        <v>452</v>
      </c>
      <c r="F162" s="6" t="s">
        <v>21</v>
      </c>
      <c r="G162" s="12" t="s">
        <v>81</v>
      </c>
      <c r="H162" s="21" t="s">
        <v>110</v>
      </c>
      <c r="I162" s="14" t="s">
        <v>111</v>
      </c>
      <c r="J162" s="13">
        <v>45898</v>
      </c>
      <c r="K162" s="13">
        <v>46263</v>
      </c>
      <c r="L162" s="48" t="str">
        <f t="shared" ca="1" si="9"/>
        <v>OK</v>
      </c>
      <c r="M162" s="5">
        <v>202509541</v>
      </c>
      <c r="N162" s="5" t="s">
        <v>453</v>
      </c>
      <c r="O162" s="17" t="s">
        <v>450</v>
      </c>
      <c r="P162" s="5" t="s">
        <v>347</v>
      </c>
      <c r="Q162" s="5"/>
    </row>
    <row r="163" spans="2:17" ht="80.099999999999994" customHeight="1" x14ac:dyDescent="0.3">
      <c r="B163" s="48">
        <v>156</v>
      </c>
      <c r="C163" s="5" t="s">
        <v>508</v>
      </c>
      <c r="D163" s="2" t="s">
        <v>509</v>
      </c>
      <c r="E163" s="16" t="s">
        <v>536</v>
      </c>
      <c r="F163" s="6" t="s">
        <v>21</v>
      </c>
      <c r="G163" s="12" t="s">
        <v>533</v>
      </c>
      <c r="H163" s="21" t="s">
        <v>157</v>
      </c>
      <c r="I163" s="14" t="s">
        <v>534</v>
      </c>
      <c r="J163" s="13">
        <v>45884</v>
      </c>
      <c r="K163" s="13">
        <v>46249</v>
      </c>
      <c r="L163" s="48" t="str">
        <f t="shared" ca="1" si="9"/>
        <v>OK</v>
      </c>
      <c r="M163" s="5" t="s">
        <v>537</v>
      </c>
      <c r="N163" s="14" t="s">
        <v>181</v>
      </c>
      <c r="O163" s="17" t="s">
        <v>544</v>
      </c>
      <c r="P163" s="5" t="s">
        <v>26</v>
      </c>
      <c r="Q163" s="5"/>
    </row>
    <row r="164" spans="2:17" ht="80.099999999999994" customHeight="1" x14ac:dyDescent="0.3">
      <c r="B164" s="48">
        <v>157</v>
      </c>
      <c r="C164" s="5" t="s">
        <v>508</v>
      </c>
      <c r="D164" s="2" t="s">
        <v>509</v>
      </c>
      <c r="E164" s="16" t="s">
        <v>538</v>
      </c>
      <c r="F164" s="6" t="s">
        <v>21</v>
      </c>
      <c r="G164" s="12" t="s">
        <v>533</v>
      </c>
      <c r="H164" s="21" t="s">
        <v>157</v>
      </c>
      <c r="I164" s="14" t="s">
        <v>534</v>
      </c>
      <c r="J164" s="13">
        <v>45884</v>
      </c>
      <c r="K164" s="13">
        <v>46249</v>
      </c>
      <c r="L164" s="48" t="str">
        <f t="shared" ca="1" si="9"/>
        <v>OK</v>
      </c>
      <c r="M164" s="5" t="s">
        <v>539</v>
      </c>
      <c r="N164" s="14" t="s">
        <v>181</v>
      </c>
      <c r="O164" s="17" t="s">
        <v>544</v>
      </c>
      <c r="P164" s="5" t="s">
        <v>26</v>
      </c>
      <c r="Q164" s="5"/>
    </row>
    <row r="165" spans="2:17" ht="80.099999999999994" customHeight="1" x14ac:dyDescent="0.3">
      <c r="B165" s="48">
        <v>158</v>
      </c>
      <c r="C165" s="5" t="s">
        <v>508</v>
      </c>
      <c r="D165" s="2" t="s">
        <v>572</v>
      </c>
      <c r="E165" s="16" t="s">
        <v>540</v>
      </c>
      <c r="F165" s="6" t="s">
        <v>21</v>
      </c>
      <c r="G165" s="12" t="s">
        <v>533</v>
      </c>
      <c r="H165" s="21" t="s">
        <v>157</v>
      </c>
      <c r="I165" s="14" t="s">
        <v>534</v>
      </c>
      <c r="J165" s="13">
        <v>45884</v>
      </c>
      <c r="K165" s="13">
        <v>46249</v>
      </c>
      <c r="L165" s="48" t="str">
        <f t="shared" ca="1" si="9"/>
        <v>OK</v>
      </c>
      <c r="M165" s="5" t="s">
        <v>541</v>
      </c>
      <c r="N165" s="14" t="s">
        <v>181</v>
      </c>
      <c r="O165" s="17" t="s">
        <v>544</v>
      </c>
      <c r="P165" s="5" t="s">
        <v>26</v>
      </c>
      <c r="Q165" s="5"/>
    </row>
    <row r="166" spans="2:17" ht="80.099999999999994" customHeight="1" x14ac:dyDescent="0.3">
      <c r="B166" s="48">
        <v>159</v>
      </c>
      <c r="C166" s="5" t="s">
        <v>508</v>
      </c>
      <c r="D166" s="2" t="s">
        <v>593</v>
      </c>
      <c r="E166" s="16" t="s">
        <v>542</v>
      </c>
      <c r="F166" s="6" t="s">
        <v>21</v>
      </c>
      <c r="G166" s="12" t="s">
        <v>533</v>
      </c>
      <c r="H166" s="21" t="s">
        <v>157</v>
      </c>
      <c r="I166" s="14" t="s">
        <v>534</v>
      </c>
      <c r="J166" s="13">
        <v>45884</v>
      </c>
      <c r="K166" s="13">
        <v>46249</v>
      </c>
      <c r="L166" s="48" t="str">
        <f t="shared" ca="1" si="9"/>
        <v>OK</v>
      </c>
      <c r="M166" s="5" t="s">
        <v>543</v>
      </c>
      <c r="N166" s="14" t="s">
        <v>181</v>
      </c>
      <c r="O166" s="17" t="s">
        <v>544</v>
      </c>
      <c r="P166" s="5" t="s">
        <v>26</v>
      </c>
      <c r="Q166" s="5"/>
    </row>
    <row r="167" spans="2:17" ht="80.099999999999994" customHeight="1" x14ac:dyDescent="0.3">
      <c r="B167" s="48">
        <v>160</v>
      </c>
      <c r="C167" s="5" t="s">
        <v>508</v>
      </c>
      <c r="D167" s="2" t="s">
        <v>574</v>
      </c>
      <c r="E167" s="16" t="s">
        <v>532</v>
      </c>
      <c r="F167" s="6" t="s">
        <v>21</v>
      </c>
      <c r="G167" s="12" t="s">
        <v>533</v>
      </c>
      <c r="H167" s="21" t="s">
        <v>157</v>
      </c>
      <c r="I167" s="14" t="s">
        <v>534</v>
      </c>
      <c r="J167" s="13">
        <v>45884</v>
      </c>
      <c r="K167" s="13">
        <v>46249</v>
      </c>
      <c r="L167" s="48" t="str">
        <f t="shared" ca="1" si="9"/>
        <v>OK</v>
      </c>
      <c r="M167" s="5" t="s">
        <v>535</v>
      </c>
      <c r="N167" s="14" t="s">
        <v>181</v>
      </c>
      <c r="O167" s="17" t="s">
        <v>544</v>
      </c>
      <c r="P167" s="5" t="s">
        <v>26</v>
      </c>
      <c r="Q167" s="5"/>
    </row>
    <row r="168" spans="2:17" ht="80.099999999999994" customHeight="1" x14ac:dyDescent="0.3">
      <c r="B168" s="48">
        <v>161</v>
      </c>
      <c r="C168" s="5" t="s">
        <v>547</v>
      </c>
      <c r="D168" s="2" t="s">
        <v>548</v>
      </c>
      <c r="E168" s="16" t="s">
        <v>549</v>
      </c>
      <c r="F168" s="6" t="s">
        <v>21</v>
      </c>
      <c r="G168" s="12" t="s">
        <v>199</v>
      </c>
      <c r="H168" s="21" t="s">
        <v>189</v>
      </c>
      <c r="I168" s="14" t="s">
        <v>550</v>
      </c>
      <c r="J168" s="13">
        <v>45986</v>
      </c>
      <c r="K168" s="13">
        <v>46351</v>
      </c>
      <c r="L168" s="48" t="str">
        <f t="shared" ca="1" si="9"/>
        <v>OK</v>
      </c>
      <c r="M168" s="5" t="s">
        <v>551</v>
      </c>
      <c r="N168" s="14" t="s">
        <v>181</v>
      </c>
      <c r="O168" s="17" t="s">
        <v>545</v>
      </c>
      <c r="P168" s="5" t="s">
        <v>26</v>
      </c>
      <c r="Q168" s="5"/>
    </row>
    <row r="169" spans="2:17" ht="80.099999999999994" customHeight="1" x14ac:dyDescent="0.3">
      <c r="B169" s="48">
        <v>162</v>
      </c>
      <c r="C169" s="5" t="s">
        <v>547</v>
      </c>
      <c r="D169" s="2" t="s">
        <v>548</v>
      </c>
      <c r="E169" s="16" t="s">
        <v>552</v>
      </c>
      <c r="F169" s="6" t="s">
        <v>21</v>
      </c>
      <c r="G169" s="12" t="s">
        <v>199</v>
      </c>
      <c r="H169" s="21" t="s">
        <v>189</v>
      </c>
      <c r="I169" s="14" t="s">
        <v>550</v>
      </c>
      <c r="J169" s="13">
        <v>45986</v>
      </c>
      <c r="K169" s="13">
        <v>46351</v>
      </c>
      <c r="L169" s="48" t="str">
        <f t="shared" ca="1" si="9"/>
        <v>OK</v>
      </c>
      <c r="M169" s="5" t="s">
        <v>553</v>
      </c>
      <c r="N169" s="14" t="s">
        <v>181</v>
      </c>
      <c r="O169" s="17" t="s">
        <v>545</v>
      </c>
      <c r="P169" s="5" t="s">
        <v>26</v>
      </c>
      <c r="Q169" s="5"/>
    </row>
    <row r="170" spans="2:17" ht="80.099999999999994" customHeight="1" x14ac:dyDescent="0.3">
      <c r="B170" s="48">
        <v>163</v>
      </c>
      <c r="C170" s="5" t="s">
        <v>473</v>
      </c>
      <c r="D170" s="2" t="s">
        <v>341</v>
      </c>
      <c r="E170" s="16" t="s">
        <v>554</v>
      </c>
      <c r="F170" s="6" t="s">
        <v>21</v>
      </c>
      <c r="G170" s="12" t="s">
        <v>555</v>
      </c>
      <c r="H170" s="21" t="s">
        <v>366</v>
      </c>
      <c r="I170" s="14" t="s">
        <v>556</v>
      </c>
      <c r="J170" s="13">
        <v>45869</v>
      </c>
      <c r="K170" s="13">
        <v>46234</v>
      </c>
      <c r="L170" s="48" t="str">
        <f t="shared" ca="1" si="9"/>
        <v>OK</v>
      </c>
      <c r="M170" s="5">
        <v>96010525</v>
      </c>
      <c r="N170" s="14" t="s">
        <v>128</v>
      </c>
      <c r="O170" s="17" t="s">
        <v>364</v>
      </c>
      <c r="P170" s="5" t="s">
        <v>26</v>
      </c>
      <c r="Q170" s="5"/>
    </row>
    <row r="171" spans="2:17" ht="80.099999999999994" customHeight="1" x14ac:dyDescent="0.3">
      <c r="B171" s="48">
        <v>164</v>
      </c>
      <c r="C171" s="5" t="s">
        <v>508</v>
      </c>
      <c r="D171" s="2" t="s">
        <v>557</v>
      </c>
      <c r="E171" s="16"/>
      <c r="F171" s="6" t="s">
        <v>21</v>
      </c>
      <c r="G171" s="12" t="s">
        <v>558</v>
      </c>
      <c r="H171" s="21" t="s">
        <v>559</v>
      </c>
      <c r="I171" s="14" t="s">
        <v>350</v>
      </c>
      <c r="J171" s="13">
        <v>45945</v>
      </c>
      <c r="K171" s="13">
        <v>46310</v>
      </c>
      <c r="L171" s="48" t="str">
        <f t="shared" ca="1" si="9"/>
        <v>OK</v>
      </c>
      <c r="M171" s="5" t="s">
        <v>560</v>
      </c>
      <c r="N171" s="14" t="s">
        <v>561</v>
      </c>
      <c r="O171" s="17" t="s">
        <v>544</v>
      </c>
      <c r="P171" s="5" t="s">
        <v>26</v>
      </c>
      <c r="Q171" s="5"/>
    </row>
    <row r="172" spans="2:17" ht="80.099999999999994" customHeight="1" x14ac:dyDescent="0.3">
      <c r="B172" s="48">
        <v>165</v>
      </c>
      <c r="C172" s="5" t="s">
        <v>508</v>
      </c>
      <c r="D172" s="2" t="s">
        <v>562</v>
      </c>
      <c r="E172" s="16"/>
      <c r="F172" s="6" t="s">
        <v>21</v>
      </c>
      <c r="G172" s="12" t="s">
        <v>558</v>
      </c>
      <c r="H172" s="21" t="s">
        <v>559</v>
      </c>
      <c r="I172" s="14" t="s">
        <v>350</v>
      </c>
      <c r="J172" s="13">
        <v>45992</v>
      </c>
      <c r="K172" s="13">
        <v>46357</v>
      </c>
      <c r="L172" s="48" t="str">
        <f t="shared" ca="1" si="9"/>
        <v>OK</v>
      </c>
      <c r="M172" s="5" t="s">
        <v>563</v>
      </c>
      <c r="N172" s="14" t="s">
        <v>561</v>
      </c>
      <c r="O172" s="17" t="s">
        <v>544</v>
      </c>
      <c r="P172" s="5" t="s">
        <v>26</v>
      </c>
      <c r="Q172" s="5"/>
    </row>
    <row r="173" spans="2:17" ht="80.099999999999994" customHeight="1" x14ac:dyDescent="0.3">
      <c r="B173" s="48">
        <v>166</v>
      </c>
      <c r="C173" s="5" t="s">
        <v>508</v>
      </c>
      <c r="D173" s="2" t="s">
        <v>565</v>
      </c>
      <c r="E173" s="16"/>
      <c r="F173" s="6" t="s">
        <v>21</v>
      </c>
      <c r="G173" s="12" t="s">
        <v>558</v>
      </c>
      <c r="H173" s="21" t="s">
        <v>559</v>
      </c>
      <c r="I173" s="14" t="s">
        <v>350</v>
      </c>
      <c r="J173" s="13">
        <v>45945</v>
      </c>
      <c r="K173" s="13">
        <v>46310</v>
      </c>
      <c r="L173" s="48" t="str">
        <f t="shared" ca="1" si="9"/>
        <v>OK</v>
      </c>
      <c r="M173" s="5" t="s">
        <v>564</v>
      </c>
      <c r="N173" s="14" t="s">
        <v>561</v>
      </c>
      <c r="O173" s="17" t="s">
        <v>544</v>
      </c>
      <c r="P173" s="5" t="s">
        <v>26</v>
      </c>
      <c r="Q173" s="5"/>
    </row>
    <row r="174" spans="2:17" ht="80.099999999999994" customHeight="1" x14ac:dyDescent="0.3">
      <c r="B174" s="48">
        <v>167</v>
      </c>
      <c r="C174" s="5" t="s">
        <v>508</v>
      </c>
      <c r="D174" s="2" t="s">
        <v>566</v>
      </c>
      <c r="E174" s="16"/>
      <c r="F174" s="6" t="s">
        <v>21</v>
      </c>
      <c r="G174" s="12" t="s">
        <v>558</v>
      </c>
      <c r="H174" s="21" t="s">
        <v>559</v>
      </c>
      <c r="I174" s="14" t="s">
        <v>350</v>
      </c>
      <c r="J174" s="13">
        <v>45945</v>
      </c>
      <c r="K174" s="13">
        <v>46310</v>
      </c>
      <c r="L174" s="48" t="str">
        <f t="shared" ca="1" si="9"/>
        <v>OK</v>
      </c>
      <c r="M174" s="5" t="s">
        <v>567</v>
      </c>
      <c r="N174" s="14" t="s">
        <v>561</v>
      </c>
      <c r="O174" s="17" t="s">
        <v>544</v>
      </c>
      <c r="P174" s="5" t="s">
        <v>26</v>
      </c>
      <c r="Q174" s="5"/>
    </row>
    <row r="175" spans="2:17" ht="80.099999999999994" customHeight="1" x14ac:dyDescent="0.3">
      <c r="B175" s="48">
        <v>168</v>
      </c>
      <c r="C175" s="5" t="s">
        <v>508</v>
      </c>
      <c r="D175" s="2" t="s">
        <v>570</v>
      </c>
      <c r="E175" s="16"/>
      <c r="F175" s="6" t="s">
        <v>21</v>
      </c>
      <c r="G175" s="12" t="s">
        <v>558</v>
      </c>
      <c r="H175" s="21" t="s">
        <v>559</v>
      </c>
      <c r="I175" s="14" t="s">
        <v>350</v>
      </c>
      <c r="J175" s="13">
        <v>45945</v>
      </c>
      <c r="K175" s="13">
        <v>46310</v>
      </c>
      <c r="L175" s="48" t="str">
        <f t="shared" ca="1" si="9"/>
        <v>OK</v>
      </c>
      <c r="M175" s="5" t="s">
        <v>568</v>
      </c>
      <c r="N175" s="14" t="s">
        <v>561</v>
      </c>
      <c r="O175" s="17" t="s">
        <v>544</v>
      </c>
      <c r="P175" s="5" t="s">
        <v>26</v>
      </c>
      <c r="Q175" s="5"/>
    </row>
    <row r="176" spans="2:17" ht="80.099999999999994" customHeight="1" x14ac:dyDescent="0.3">
      <c r="B176" s="48">
        <v>169</v>
      </c>
      <c r="C176" s="5" t="s">
        <v>508</v>
      </c>
      <c r="D176" s="2" t="s">
        <v>569</v>
      </c>
      <c r="E176" s="16"/>
      <c r="F176" s="6" t="s">
        <v>21</v>
      </c>
      <c r="G176" s="12" t="s">
        <v>558</v>
      </c>
      <c r="H176" s="21" t="s">
        <v>559</v>
      </c>
      <c r="I176" s="14" t="s">
        <v>350</v>
      </c>
      <c r="J176" s="13">
        <v>45945</v>
      </c>
      <c r="K176" s="13">
        <v>46310</v>
      </c>
      <c r="L176" s="48" t="str">
        <f t="shared" ca="1" si="9"/>
        <v>OK</v>
      </c>
      <c r="M176" s="5" t="s">
        <v>571</v>
      </c>
      <c r="N176" s="14" t="s">
        <v>561</v>
      </c>
      <c r="O176" s="17" t="s">
        <v>544</v>
      </c>
      <c r="P176" s="5" t="s">
        <v>26</v>
      </c>
      <c r="Q176" s="5"/>
    </row>
    <row r="177" spans="2:17" ht="80.099999999999994" customHeight="1" x14ac:dyDescent="0.3">
      <c r="B177" s="48">
        <v>170</v>
      </c>
      <c r="C177" s="5" t="s">
        <v>508</v>
      </c>
      <c r="D177" s="2" t="s">
        <v>508</v>
      </c>
      <c r="E177" s="16"/>
      <c r="F177" s="6" t="s">
        <v>21</v>
      </c>
      <c r="G177" s="12" t="s">
        <v>558</v>
      </c>
      <c r="H177" s="21" t="s">
        <v>559</v>
      </c>
      <c r="I177" s="14" t="s">
        <v>350</v>
      </c>
      <c r="J177" s="13">
        <v>45945</v>
      </c>
      <c r="K177" s="13">
        <v>46310</v>
      </c>
      <c r="L177" s="48" t="str">
        <f t="shared" ca="1" si="9"/>
        <v>OK</v>
      </c>
      <c r="M177" s="5" t="s">
        <v>573</v>
      </c>
      <c r="N177" s="14" t="s">
        <v>561</v>
      </c>
      <c r="O177" s="17" t="s">
        <v>544</v>
      </c>
      <c r="P177" s="5" t="s">
        <v>26</v>
      </c>
      <c r="Q177" s="5"/>
    </row>
    <row r="178" spans="2:17" ht="80.099999999999994" customHeight="1" x14ac:dyDescent="0.3">
      <c r="B178" s="48">
        <v>171</v>
      </c>
      <c r="C178" s="5" t="s">
        <v>473</v>
      </c>
      <c r="D178" s="2" t="s">
        <v>576</v>
      </c>
      <c r="E178" s="16"/>
      <c r="F178" s="6" t="s">
        <v>21</v>
      </c>
      <c r="G178" s="12" t="s">
        <v>558</v>
      </c>
      <c r="H178" s="21" t="s">
        <v>559</v>
      </c>
      <c r="I178" s="14" t="s">
        <v>350</v>
      </c>
      <c r="J178" s="13">
        <v>45945</v>
      </c>
      <c r="K178" s="13">
        <v>46310</v>
      </c>
      <c r="L178" s="48" t="str">
        <f t="shared" ca="1" si="9"/>
        <v>OK</v>
      </c>
      <c r="M178" s="5" t="s">
        <v>577</v>
      </c>
      <c r="N178" s="14" t="s">
        <v>561</v>
      </c>
      <c r="O178" s="17" t="s">
        <v>544</v>
      </c>
      <c r="P178" s="5" t="s">
        <v>26</v>
      </c>
      <c r="Q178" s="5"/>
    </row>
    <row r="179" spans="2:17" ht="80.099999999999994" customHeight="1" x14ac:dyDescent="0.3">
      <c r="B179" s="48">
        <v>172</v>
      </c>
      <c r="C179" s="5" t="s">
        <v>473</v>
      </c>
      <c r="D179" s="2" t="s">
        <v>578</v>
      </c>
      <c r="E179" s="16"/>
      <c r="F179" s="6" t="s">
        <v>21</v>
      </c>
      <c r="G179" s="12" t="s">
        <v>558</v>
      </c>
      <c r="H179" s="21" t="s">
        <v>559</v>
      </c>
      <c r="I179" s="14" t="s">
        <v>350</v>
      </c>
      <c r="J179" s="13">
        <v>45992</v>
      </c>
      <c r="K179" s="13">
        <v>46357</v>
      </c>
      <c r="L179" s="48" t="str">
        <f t="shared" ca="1" si="9"/>
        <v>OK</v>
      </c>
      <c r="M179" s="5" t="s">
        <v>579</v>
      </c>
      <c r="N179" s="14" t="s">
        <v>561</v>
      </c>
      <c r="O179" s="17" t="s">
        <v>544</v>
      </c>
      <c r="P179" s="5" t="s">
        <v>26</v>
      </c>
      <c r="Q179" s="5"/>
    </row>
    <row r="180" spans="2:17" ht="80.099999999999994" customHeight="1" x14ac:dyDescent="0.3">
      <c r="B180" s="48">
        <v>173</v>
      </c>
      <c r="C180" s="5" t="s">
        <v>508</v>
      </c>
      <c r="D180" s="2" t="s">
        <v>508</v>
      </c>
      <c r="E180" s="16"/>
      <c r="F180" s="6" t="s">
        <v>21</v>
      </c>
      <c r="G180" s="12" t="s">
        <v>558</v>
      </c>
      <c r="H180" s="21" t="s">
        <v>559</v>
      </c>
      <c r="I180" s="14" t="s">
        <v>350</v>
      </c>
      <c r="J180" s="13">
        <v>45945</v>
      </c>
      <c r="K180" s="13">
        <v>46310</v>
      </c>
      <c r="L180" s="48" t="str">
        <f t="shared" ca="1" si="9"/>
        <v>OK</v>
      </c>
      <c r="M180" s="5" t="s">
        <v>580</v>
      </c>
      <c r="N180" s="14" t="s">
        <v>561</v>
      </c>
      <c r="O180" s="17" t="s">
        <v>544</v>
      </c>
      <c r="P180" s="5" t="s">
        <v>26</v>
      </c>
      <c r="Q180" s="5"/>
    </row>
    <row r="181" spans="2:17" ht="80.099999999999994" customHeight="1" x14ac:dyDescent="0.3">
      <c r="B181" s="48">
        <v>174</v>
      </c>
      <c r="C181" s="5" t="s">
        <v>508</v>
      </c>
      <c r="D181" s="2" t="s">
        <v>508</v>
      </c>
      <c r="E181" s="16"/>
      <c r="F181" s="6" t="s">
        <v>21</v>
      </c>
      <c r="G181" s="12" t="s">
        <v>558</v>
      </c>
      <c r="H181" s="21" t="s">
        <v>559</v>
      </c>
      <c r="I181" s="14" t="s">
        <v>350</v>
      </c>
      <c r="J181" s="13">
        <v>45945</v>
      </c>
      <c r="K181" s="13">
        <v>46310</v>
      </c>
      <c r="L181" s="48" t="str">
        <f t="shared" ca="1" si="9"/>
        <v>OK</v>
      </c>
      <c r="M181" s="5" t="s">
        <v>581</v>
      </c>
      <c r="N181" s="14" t="s">
        <v>561</v>
      </c>
      <c r="O181" s="17" t="s">
        <v>544</v>
      </c>
      <c r="P181" s="5" t="s">
        <v>26</v>
      </c>
      <c r="Q181" s="5"/>
    </row>
    <row r="182" spans="2:17" ht="80.099999999999994" customHeight="1" x14ac:dyDescent="0.3">
      <c r="B182" s="48">
        <v>175</v>
      </c>
      <c r="C182" s="5" t="s">
        <v>508</v>
      </c>
      <c r="D182" s="2" t="s">
        <v>508</v>
      </c>
      <c r="E182" s="16"/>
      <c r="F182" s="6" t="s">
        <v>21</v>
      </c>
      <c r="G182" s="12" t="s">
        <v>558</v>
      </c>
      <c r="H182" s="21" t="s">
        <v>559</v>
      </c>
      <c r="I182" s="14" t="s">
        <v>350</v>
      </c>
      <c r="J182" s="13">
        <v>45945</v>
      </c>
      <c r="K182" s="13">
        <v>46310</v>
      </c>
      <c r="L182" s="48" t="str">
        <f t="shared" ca="1" si="9"/>
        <v>OK</v>
      </c>
      <c r="M182" s="5" t="s">
        <v>582</v>
      </c>
      <c r="N182" s="14" t="s">
        <v>561</v>
      </c>
      <c r="O182" s="17" t="s">
        <v>544</v>
      </c>
      <c r="P182" s="5" t="s">
        <v>26</v>
      </c>
      <c r="Q182" s="5"/>
    </row>
    <row r="183" spans="2:17" ht="80.099999999999994" customHeight="1" x14ac:dyDescent="0.3">
      <c r="B183" s="48">
        <v>176</v>
      </c>
      <c r="C183" s="5" t="s">
        <v>508</v>
      </c>
      <c r="D183" s="2" t="s">
        <v>508</v>
      </c>
      <c r="E183" s="16"/>
      <c r="F183" s="6" t="s">
        <v>21</v>
      </c>
      <c r="G183" s="12" t="s">
        <v>558</v>
      </c>
      <c r="H183" s="21" t="s">
        <v>559</v>
      </c>
      <c r="I183" s="14" t="s">
        <v>350</v>
      </c>
      <c r="J183" s="13">
        <v>45945</v>
      </c>
      <c r="K183" s="13">
        <v>46310</v>
      </c>
      <c r="L183" s="48" t="str">
        <f t="shared" ca="1" si="9"/>
        <v>OK</v>
      </c>
      <c r="M183" s="5" t="s">
        <v>583</v>
      </c>
      <c r="N183" s="14" t="s">
        <v>561</v>
      </c>
      <c r="O183" s="17" t="s">
        <v>544</v>
      </c>
      <c r="P183" s="5" t="s">
        <v>26</v>
      </c>
      <c r="Q183" s="5"/>
    </row>
    <row r="184" spans="2:17" ht="80.099999999999994" customHeight="1" x14ac:dyDescent="0.3">
      <c r="B184" s="48">
        <v>177</v>
      </c>
      <c r="C184" s="5" t="s">
        <v>508</v>
      </c>
      <c r="D184" s="2" t="s">
        <v>508</v>
      </c>
      <c r="E184" s="16"/>
      <c r="F184" s="6" t="s">
        <v>21</v>
      </c>
      <c r="G184" s="12" t="s">
        <v>558</v>
      </c>
      <c r="H184" s="21" t="s">
        <v>559</v>
      </c>
      <c r="I184" s="14" t="s">
        <v>350</v>
      </c>
      <c r="J184" s="13">
        <v>45945</v>
      </c>
      <c r="K184" s="13">
        <v>46310</v>
      </c>
      <c r="L184" s="48" t="str">
        <f t="shared" ca="1" si="9"/>
        <v>OK</v>
      </c>
      <c r="M184" s="5" t="s">
        <v>584</v>
      </c>
      <c r="N184" s="14" t="s">
        <v>561</v>
      </c>
      <c r="O184" s="17" t="s">
        <v>544</v>
      </c>
      <c r="P184" s="5" t="s">
        <v>26</v>
      </c>
      <c r="Q184" s="5"/>
    </row>
    <row r="185" spans="2:17" ht="80.099999999999994" customHeight="1" x14ac:dyDescent="0.3">
      <c r="B185" s="48">
        <v>178</v>
      </c>
      <c r="C185" s="5" t="s">
        <v>508</v>
      </c>
      <c r="D185" s="2" t="s">
        <v>508</v>
      </c>
      <c r="E185" s="16"/>
      <c r="F185" s="6" t="s">
        <v>21</v>
      </c>
      <c r="G185" s="12" t="s">
        <v>558</v>
      </c>
      <c r="H185" s="21" t="s">
        <v>559</v>
      </c>
      <c r="I185" s="14" t="s">
        <v>350</v>
      </c>
      <c r="J185" s="13">
        <v>45992</v>
      </c>
      <c r="K185" s="13">
        <v>46357</v>
      </c>
      <c r="L185" s="48" t="str">
        <f t="shared" ca="1" si="9"/>
        <v>OK</v>
      </c>
      <c r="M185" s="5" t="s">
        <v>585</v>
      </c>
      <c r="N185" s="14" t="s">
        <v>561</v>
      </c>
      <c r="O185" s="17" t="s">
        <v>544</v>
      </c>
      <c r="P185" s="5" t="s">
        <v>26</v>
      </c>
      <c r="Q185" s="5"/>
    </row>
    <row r="186" spans="2:17" ht="80.099999999999994" customHeight="1" x14ac:dyDescent="0.3">
      <c r="B186" s="48">
        <v>179</v>
      </c>
      <c r="C186" s="5" t="s">
        <v>20</v>
      </c>
      <c r="D186" s="2" t="s">
        <v>451</v>
      </c>
      <c r="E186" s="16" t="s">
        <v>55</v>
      </c>
      <c r="F186" s="6" t="s">
        <v>21</v>
      </c>
      <c r="G186" s="12" t="s">
        <v>98</v>
      </c>
      <c r="H186" s="21" t="s">
        <v>123</v>
      </c>
      <c r="I186" s="14" t="s">
        <v>588</v>
      </c>
      <c r="J186" s="13">
        <v>45931</v>
      </c>
      <c r="K186" s="13">
        <v>46296</v>
      </c>
      <c r="L186" s="48" t="str">
        <f t="shared" ca="1" si="9"/>
        <v>OK</v>
      </c>
      <c r="M186" s="5" t="s">
        <v>589</v>
      </c>
      <c r="N186" s="14" t="s">
        <v>124</v>
      </c>
      <c r="O186" s="17"/>
      <c r="P186" s="5" t="s">
        <v>347</v>
      </c>
      <c r="Q186" s="5"/>
    </row>
    <row r="187" spans="2:17" ht="80.099999999999994" customHeight="1" x14ac:dyDescent="0.3">
      <c r="B187" s="48">
        <v>180</v>
      </c>
      <c r="C187" s="5" t="s">
        <v>20</v>
      </c>
      <c r="D187" s="2" t="s">
        <v>451</v>
      </c>
      <c r="E187" s="16" t="s">
        <v>590</v>
      </c>
      <c r="F187" s="6" t="s">
        <v>21</v>
      </c>
      <c r="G187" s="12" t="s">
        <v>591</v>
      </c>
      <c r="H187" s="21" t="s">
        <v>123</v>
      </c>
      <c r="I187" s="14" t="s">
        <v>592</v>
      </c>
      <c r="J187" s="13">
        <v>45931</v>
      </c>
      <c r="K187" s="13">
        <v>46296</v>
      </c>
      <c r="L187" s="48" t="str">
        <f t="shared" ca="1" si="9"/>
        <v>OK</v>
      </c>
      <c r="M187" s="5" t="s">
        <v>589</v>
      </c>
      <c r="N187" s="14" t="s">
        <v>124</v>
      </c>
      <c r="O187" s="17"/>
      <c r="P187" s="5" t="s">
        <v>347</v>
      </c>
      <c r="Q187" s="5"/>
    </row>
    <row r="188" spans="2:17" ht="80.099999999999994" customHeight="1" x14ac:dyDescent="0.3">
      <c r="B188" s="48">
        <v>181</v>
      </c>
      <c r="C188" s="5" t="s">
        <v>20</v>
      </c>
      <c r="D188" s="2" t="s">
        <v>509</v>
      </c>
      <c r="E188" s="16" t="s">
        <v>594</v>
      </c>
      <c r="F188" s="6" t="s">
        <v>21</v>
      </c>
      <c r="G188" s="12" t="s">
        <v>595</v>
      </c>
      <c r="H188" s="21" t="s">
        <v>596</v>
      </c>
      <c r="I188" s="14" t="s">
        <v>597</v>
      </c>
      <c r="J188" s="13">
        <v>46028</v>
      </c>
      <c r="K188" s="13">
        <v>46393</v>
      </c>
      <c r="L188" s="48" t="str">
        <f t="shared" ca="1" si="9"/>
        <v>OK</v>
      </c>
      <c r="M188" s="5" t="s">
        <v>598</v>
      </c>
      <c r="N188" s="14" t="s">
        <v>599</v>
      </c>
      <c r="O188" s="17"/>
      <c r="P188" s="5" t="s">
        <v>26</v>
      </c>
      <c r="Q188" s="5"/>
    </row>
    <row r="189" spans="2:17" ht="80.099999999999994" customHeight="1" x14ac:dyDescent="0.3">
      <c r="B189" s="48">
        <v>182</v>
      </c>
      <c r="C189" s="5" t="s">
        <v>20</v>
      </c>
      <c r="D189" s="2" t="s">
        <v>530</v>
      </c>
      <c r="E189" s="16" t="s">
        <v>601</v>
      </c>
      <c r="F189" s="6" t="s">
        <v>21</v>
      </c>
      <c r="G189" s="12" t="s">
        <v>37</v>
      </c>
      <c r="H189" s="21" t="s">
        <v>34</v>
      </c>
      <c r="I189" s="14" t="s">
        <v>35</v>
      </c>
      <c r="J189" s="13">
        <v>45980</v>
      </c>
      <c r="K189" s="13">
        <v>46345</v>
      </c>
      <c r="L189" s="48" t="str">
        <f t="shared" ca="1" si="9"/>
        <v>OK</v>
      </c>
      <c r="M189" s="5">
        <v>202510970</v>
      </c>
      <c r="N189" s="14" t="s">
        <v>31</v>
      </c>
      <c r="O189" s="17"/>
      <c r="P189" s="5" t="s">
        <v>347</v>
      </c>
      <c r="Q189" s="5"/>
    </row>
    <row r="190" spans="2:17" ht="80.099999999999994" customHeight="1" x14ac:dyDescent="0.3">
      <c r="B190" s="48">
        <v>183</v>
      </c>
      <c r="C190" s="5" t="s">
        <v>20</v>
      </c>
      <c r="D190" s="2" t="s">
        <v>530</v>
      </c>
      <c r="E190" s="16" t="s">
        <v>602</v>
      </c>
      <c r="F190" s="6" t="s">
        <v>21</v>
      </c>
      <c r="G190" s="12" t="s">
        <v>28</v>
      </c>
      <c r="H190" s="21" t="s">
        <v>29</v>
      </c>
      <c r="I190" s="14" t="s">
        <v>30</v>
      </c>
      <c r="J190" s="13">
        <v>45825</v>
      </c>
      <c r="K190" s="13">
        <v>46190</v>
      </c>
      <c r="L190" s="48" t="str">
        <f t="shared" ca="1" si="9"/>
        <v>PENDENTE</v>
      </c>
      <c r="M190" s="5">
        <v>202504692</v>
      </c>
      <c r="N190" s="14" t="s">
        <v>31</v>
      </c>
      <c r="O190" s="17"/>
      <c r="P190" s="5" t="s">
        <v>347</v>
      </c>
      <c r="Q190" s="5"/>
    </row>
    <row r="191" spans="2:17" ht="80.099999999999994" customHeight="1" x14ac:dyDescent="0.3">
      <c r="B191" s="48">
        <v>184</v>
      </c>
      <c r="C191" s="5" t="s">
        <v>20</v>
      </c>
      <c r="D191" s="2" t="s">
        <v>530</v>
      </c>
      <c r="E191" s="16" t="s">
        <v>603</v>
      </c>
      <c r="F191" s="6" t="s">
        <v>21</v>
      </c>
      <c r="G191" s="12" t="s">
        <v>37</v>
      </c>
      <c r="H191" s="21" t="s">
        <v>34</v>
      </c>
      <c r="I191" s="14" t="s">
        <v>35</v>
      </c>
      <c r="J191" s="13">
        <v>45868</v>
      </c>
      <c r="K191" s="13">
        <v>46233</v>
      </c>
      <c r="L191" s="48" t="str">
        <f t="shared" ca="1" si="9"/>
        <v>OK</v>
      </c>
      <c r="M191" s="5">
        <v>202507511</v>
      </c>
      <c r="N191" s="14" t="s">
        <v>31</v>
      </c>
      <c r="O191" s="17"/>
      <c r="P191" s="5" t="s">
        <v>347</v>
      </c>
      <c r="Q191" s="5"/>
    </row>
    <row r="192" spans="2:17" ht="80.099999999999994" customHeight="1" x14ac:dyDescent="0.3">
      <c r="B192" s="48">
        <v>185</v>
      </c>
      <c r="C192" s="5" t="s">
        <v>20</v>
      </c>
      <c r="D192" s="2" t="s">
        <v>530</v>
      </c>
      <c r="E192" s="16" t="s">
        <v>604</v>
      </c>
      <c r="F192" s="6" t="s">
        <v>21</v>
      </c>
      <c r="G192" s="12" t="s">
        <v>33</v>
      </c>
      <c r="H192" s="21" t="s">
        <v>605</v>
      </c>
      <c r="I192" s="14" t="s">
        <v>35</v>
      </c>
      <c r="J192" s="13">
        <v>45936</v>
      </c>
      <c r="K192" s="13">
        <v>46301</v>
      </c>
      <c r="L192" s="48" t="str">
        <f t="shared" ca="1" si="9"/>
        <v>OK</v>
      </c>
      <c r="M192" s="5">
        <v>202509169</v>
      </c>
      <c r="N192" s="14" t="s">
        <v>31</v>
      </c>
      <c r="O192" s="17"/>
      <c r="P192" s="5" t="s">
        <v>347</v>
      </c>
      <c r="Q192" s="5"/>
    </row>
    <row r="193" spans="2:17" ht="80.099999999999994" customHeight="1" x14ac:dyDescent="0.3">
      <c r="B193" s="48">
        <v>186</v>
      </c>
      <c r="C193" s="5" t="s">
        <v>20</v>
      </c>
      <c r="D193" s="2" t="s">
        <v>530</v>
      </c>
      <c r="E193" s="16" t="s">
        <v>606</v>
      </c>
      <c r="F193" s="6" t="s">
        <v>21</v>
      </c>
      <c r="G193" s="12" t="s">
        <v>33</v>
      </c>
      <c r="H193" s="21" t="s">
        <v>34</v>
      </c>
      <c r="I193" s="14" t="s">
        <v>35</v>
      </c>
      <c r="J193" s="13">
        <v>45936</v>
      </c>
      <c r="K193" s="13">
        <v>46301</v>
      </c>
      <c r="L193" s="48" t="str">
        <f t="shared" ca="1" si="9"/>
        <v>OK</v>
      </c>
      <c r="M193" s="5">
        <v>202509174</v>
      </c>
      <c r="N193" s="14" t="s">
        <v>31</v>
      </c>
      <c r="O193" s="17"/>
      <c r="P193" s="5" t="s">
        <v>347</v>
      </c>
      <c r="Q193" s="5"/>
    </row>
    <row r="194" spans="2:17" ht="80.099999999999994" customHeight="1" x14ac:dyDescent="0.3">
      <c r="B194" s="48">
        <v>187</v>
      </c>
      <c r="C194" s="5" t="s">
        <v>20</v>
      </c>
      <c r="D194" s="2" t="s">
        <v>530</v>
      </c>
      <c r="E194" s="16" t="s">
        <v>607</v>
      </c>
      <c r="F194" s="6" t="s">
        <v>21</v>
      </c>
      <c r="G194" s="12" t="s">
        <v>28</v>
      </c>
      <c r="H194" s="21" t="s">
        <v>29</v>
      </c>
      <c r="I194" s="14" t="s">
        <v>30</v>
      </c>
      <c r="J194" s="13">
        <v>45978</v>
      </c>
      <c r="K194" s="13">
        <v>46343</v>
      </c>
      <c r="L194" s="48" t="str">
        <f t="shared" ca="1" si="9"/>
        <v>OK</v>
      </c>
      <c r="M194" s="5">
        <v>202510467</v>
      </c>
      <c r="N194" s="14" t="s">
        <v>31</v>
      </c>
      <c r="O194" s="17"/>
      <c r="P194" s="5" t="s">
        <v>347</v>
      </c>
      <c r="Q194" s="5"/>
    </row>
    <row r="195" spans="2:17" ht="80.099999999999994" customHeight="1" x14ac:dyDescent="0.3">
      <c r="B195" s="48">
        <v>188</v>
      </c>
      <c r="C195" s="5" t="s">
        <v>608</v>
      </c>
      <c r="D195" s="2" t="s">
        <v>609</v>
      </c>
      <c r="E195" s="16" t="s">
        <v>610</v>
      </c>
      <c r="F195" s="6" t="s">
        <v>21</v>
      </c>
      <c r="G195" s="12" t="s">
        <v>611</v>
      </c>
      <c r="H195" s="21" t="s">
        <v>612</v>
      </c>
      <c r="I195" s="14" t="s">
        <v>613</v>
      </c>
      <c r="J195" s="13">
        <v>46031</v>
      </c>
      <c r="K195" s="13">
        <v>46396</v>
      </c>
      <c r="L195" s="48" t="str">
        <f t="shared" ca="1" si="9"/>
        <v>OK</v>
      </c>
      <c r="M195" s="5" t="s">
        <v>614</v>
      </c>
      <c r="N195" s="14" t="s">
        <v>612</v>
      </c>
      <c r="O195" s="17"/>
      <c r="P195" s="5" t="s">
        <v>26</v>
      </c>
      <c r="Q195" s="5"/>
    </row>
    <row r="196" spans="2:17" ht="80.099999999999994" customHeight="1" x14ac:dyDescent="0.3">
      <c r="B196" s="48">
        <v>189</v>
      </c>
      <c r="C196" s="5" t="s">
        <v>260</v>
      </c>
      <c r="D196" s="2" t="s">
        <v>619</v>
      </c>
      <c r="E196" s="16" t="s">
        <v>615</v>
      </c>
      <c r="F196" s="6" t="s">
        <v>21</v>
      </c>
      <c r="G196" s="12" t="s">
        <v>616</v>
      </c>
      <c r="H196" s="21" t="s">
        <v>617</v>
      </c>
      <c r="I196" s="14" t="s">
        <v>42</v>
      </c>
      <c r="J196" s="13">
        <v>46043</v>
      </c>
      <c r="K196" s="13">
        <v>46408</v>
      </c>
      <c r="L196" s="48" t="str">
        <f t="shared" ca="1" si="9"/>
        <v>OK</v>
      </c>
      <c r="M196" s="5" t="s">
        <v>618</v>
      </c>
      <c r="N196" s="14" t="s">
        <v>617</v>
      </c>
      <c r="O196" s="17"/>
      <c r="P196" s="5" t="s">
        <v>26</v>
      </c>
      <c r="Q196" s="5"/>
    </row>
    <row r="197" spans="2:17" ht="80.099999999999994" customHeight="1" x14ac:dyDescent="0.3">
      <c r="B197" s="48">
        <v>190</v>
      </c>
      <c r="C197" s="5" t="s">
        <v>260</v>
      </c>
      <c r="D197" s="2" t="s">
        <v>619</v>
      </c>
      <c r="E197" s="16" t="s">
        <v>350</v>
      </c>
      <c r="F197" s="6" t="s">
        <v>21</v>
      </c>
      <c r="G197" s="12" t="s">
        <v>331</v>
      </c>
      <c r="H197" s="21" t="s">
        <v>284</v>
      </c>
      <c r="I197" s="14" t="s">
        <v>350</v>
      </c>
      <c r="J197" s="13">
        <v>46036</v>
      </c>
      <c r="K197" s="13">
        <v>46401</v>
      </c>
      <c r="L197" s="48" t="str">
        <f t="shared" ca="1" si="9"/>
        <v>OK</v>
      </c>
      <c r="M197" s="5" t="s">
        <v>620</v>
      </c>
      <c r="N197" s="14" t="s">
        <v>621</v>
      </c>
      <c r="O197" s="17"/>
      <c r="P197" s="5" t="s">
        <v>26</v>
      </c>
      <c r="Q197" s="5"/>
    </row>
    <row r="198" spans="2:17" ht="80.099999999999994" customHeight="1" x14ac:dyDescent="0.3">
      <c r="B198" s="48">
        <v>191</v>
      </c>
      <c r="C198" s="5" t="s">
        <v>260</v>
      </c>
      <c r="D198" s="2" t="s">
        <v>619</v>
      </c>
      <c r="E198" s="16" t="s">
        <v>622</v>
      </c>
      <c r="F198" s="6" t="s">
        <v>21</v>
      </c>
      <c r="G198" s="12" t="s">
        <v>623</v>
      </c>
      <c r="H198" s="21" t="s">
        <v>284</v>
      </c>
      <c r="I198" s="14" t="s">
        <v>624</v>
      </c>
      <c r="J198" s="13">
        <v>46036</v>
      </c>
      <c r="K198" s="13">
        <v>46401</v>
      </c>
      <c r="L198" s="48" t="str">
        <f t="shared" ca="1" si="9"/>
        <v>OK</v>
      </c>
      <c r="M198" s="5" t="s">
        <v>625</v>
      </c>
      <c r="N198" s="14" t="s">
        <v>621</v>
      </c>
      <c r="O198" s="17"/>
      <c r="P198" s="5" t="s">
        <v>26</v>
      </c>
      <c r="Q198" s="5"/>
    </row>
    <row r="199" spans="2:17" ht="80.099999999999994" customHeight="1" x14ac:dyDescent="0.3">
      <c r="B199" s="48">
        <v>192</v>
      </c>
      <c r="C199" s="5" t="s">
        <v>260</v>
      </c>
      <c r="D199" s="2" t="s">
        <v>619</v>
      </c>
      <c r="E199" s="16" t="s">
        <v>626</v>
      </c>
      <c r="F199" s="6" t="s">
        <v>21</v>
      </c>
      <c r="G199" s="12" t="s">
        <v>329</v>
      </c>
      <c r="H199" s="21" t="s">
        <v>284</v>
      </c>
      <c r="I199" s="14" t="s">
        <v>627</v>
      </c>
      <c r="J199" s="13">
        <v>46036</v>
      </c>
      <c r="K199" s="13">
        <v>46401</v>
      </c>
      <c r="L199" s="48" t="str">
        <f t="shared" ca="1" si="9"/>
        <v>OK</v>
      </c>
      <c r="M199" s="5" t="s">
        <v>628</v>
      </c>
      <c r="N199" s="14" t="s">
        <v>621</v>
      </c>
      <c r="O199" s="17"/>
      <c r="P199" s="5" t="s">
        <v>26</v>
      </c>
      <c r="Q199" s="5"/>
    </row>
    <row r="200" spans="2:17" ht="80.099999999999994" customHeight="1" x14ac:dyDescent="0.3">
      <c r="B200" s="48">
        <v>193</v>
      </c>
      <c r="C200" s="5" t="s">
        <v>260</v>
      </c>
      <c r="D200" s="2" t="s">
        <v>619</v>
      </c>
      <c r="E200" s="16" t="s">
        <v>629</v>
      </c>
      <c r="F200" s="6" t="s">
        <v>21</v>
      </c>
      <c r="G200" s="12" t="s">
        <v>630</v>
      </c>
      <c r="H200" s="21" t="s">
        <v>284</v>
      </c>
      <c r="I200" s="14" t="s">
        <v>624</v>
      </c>
      <c r="J200" s="13">
        <v>46036</v>
      </c>
      <c r="K200" s="13">
        <v>46401</v>
      </c>
      <c r="L200" s="48" t="str">
        <f t="shared" ca="1" si="9"/>
        <v>OK</v>
      </c>
      <c r="M200" s="5" t="s">
        <v>631</v>
      </c>
      <c r="N200" s="14" t="s">
        <v>621</v>
      </c>
      <c r="O200" s="17"/>
      <c r="P200" s="5" t="s">
        <v>26</v>
      </c>
      <c r="Q200" s="5"/>
    </row>
    <row r="201" spans="2:17" ht="80.099999999999994" customHeight="1" x14ac:dyDescent="0.3">
      <c r="B201" s="48">
        <v>194</v>
      </c>
      <c r="C201" s="5" t="s">
        <v>260</v>
      </c>
      <c r="D201" s="2" t="s">
        <v>619</v>
      </c>
      <c r="E201" s="16" t="s">
        <v>632</v>
      </c>
      <c r="F201" s="6" t="s">
        <v>21</v>
      </c>
      <c r="G201" s="12" t="s">
        <v>633</v>
      </c>
      <c r="H201" s="21" t="s">
        <v>634</v>
      </c>
      <c r="I201" s="14" t="s">
        <v>635</v>
      </c>
      <c r="J201" s="13">
        <v>46036</v>
      </c>
      <c r="K201" s="13">
        <v>46401</v>
      </c>
      <c r="L201" s="48" t="str">
        <f t="shared" ca="1" si="9"/>
        <v>OK</v>
      </c>
      <c r="M201" s="5" t="s">
        <v>636</v>
      </c>
      <c r="N201" s="14" t="s">
        <v>621</v>
      </c>
      <c r="O201" s="17"/>
      <c r="P201" s="5" t="s">
        <v>26</v>
      </c>
      <c r="Q201" s="5"/>
    </row>
    <row r="202" spans="2:17" ht="80.099999999999994" customHeight="1" x14ac:dyDescent="0.3">
      <c r="B202" s="48">
        <v>195</v>
      </c>
      <c r="C202" s="5" t="s">
        <v>260</v>
      </c>
      <c r="D202" s="2" t="s">
        <v>619</v>
      </c>
      <c r="E202" s="16" t="s">
        <v>637</v>
      </c>
      <c r="F202" s="6" t="s">
        <v>21</v>
      </c>
      <c r="G202" s="12" t="s">
        <v>633</v>
      </c>
      <c r="H202" s="21" t="s">
        <v>638</v>
      </c>
      <c r="I202" s="14" t="s">
        <v>639</v>
      </c>
      <c r="J202" s="13">
        <v>46036</v>
      </c>
      <c r="K202" s="13">
        <v>46401</v>
      </c>
      <c r="L202" s="48" t="str">
        <f t="shared" ca="1" si="9"/>
        <v>OK</v>
      </c>
      <c r="M202" s="5" t="s">
        <v>640</v>
      </c>
      <c r="N202" s="14" t="s">
        <v>621</v>
      </c>
      <c r="O202" s="17"/>
      <c r="P202" s="5" t="s">
        <v>26</v>
      </c>
      <c r="Q202" s="5"/>
    </row>
    <row r="203" spans="2:17" ht="80.099999999999994" customHeight="1" x14ac:dyDescent="0.3">
      <c r="B203" s="48">
        <v>196</v>
      </c>
      <c r="C203" s="5" t="s">
        <v>260</v>
      </c>
      <c r="D203" s="2" t="s">
        <v>619</v>
      </c>
      <c r="E203" s="16" t="s">
        <v>641</v>
      </c>
      <c r="F203" s="6" t="s">
        <v>21</v>
      </c>
      <c r="G203" s="12" t="s">
        <v>642</v>
      </c>
      <c r="H203" s="21" t="s">
        <v>643</v>
      </c>
      <c r="I203" s="14" t="s">
        <v>644</v>
      </c>
      <c r="J203" s="13">
        <v>46036</v>
      </c>
      <c r="K203" s="13">
        <v>46401</v>
      </c>
      <c r="L203" s="48" t="str">
        <f t="shared" ca="1" si="9"/>
        <v>OK</v>
      </c>
      <c r="M203" s="5" t="s">
        <v>645</v>
      </c>
      <c r="N203" s="14" t="s">
        <v>621</v>
      </c>
      <c r="O203" s="17"/>
      <c r="P203" s="5" t="s">
        <v>26</v>
      </c>
      <c r="Q203" s="5"/>
    </row>
    <row r="204" spans="2:17" ht="80.099999999999994" customHeight="1" x14ac:dyDescent="0.3">
      <c r="B204" s="48">
        <v>197</v>
      </c>
      <c r="C204" s="5" t="s">
        <v>646</v>
      </c>
      <c r="D204" s="2" t="s">
        <v>647</v>
      </c>
      <c r="E204" s="16" t="s">
        <v>648</v>
      </c>
      <c r="F204" s="6" t="s">
        <v>21</v>
      </c>
      <c r="G204" s="12" t="s">
        <v>649</v>
      </c>
      <c r="H204" s="21" t="s">
        <v>650</v>
      </c>
      <c r="I204" s="14" t="s">
        <v>350</v>
      </c>
      <c r="J204" s="13">
        <v>45919</v>
      </c>
      <c r="K204" s="13">
        <v>46284</v>
      </c>
      <c r="L204" s="48" t="str">
        <f t="shared" ca="1" si="9"/>
        <v>OK</v>
      </c>
      <c r="M204" s="5" t="s">
        <v>651</v>
      </c>
      <c r="N204" s="14" t="s">
        <v>652</v>
      </c>
      <c r="O204" s="17"/>
      <c r="P204" s="5" t="s">
        <v>26</v>
      </c>
      <c r="Q204" s="5"/>
    </row>
    <row r="205" spans="2:17" ht="80.099999999999994" customHeight="1" x14ac:dyDescent="0.3">
      <c r="B205" s="48">
        <v>198</v>
      </c>
      <c r="C205" s="5" t="s">
        <v>646</v>
      </c>
      <c r="D205" s="2" t="s">
        <v>647</v>
      </c>
      <c r="E205" s="16" t="s">
        <v>653</v>
      </c>
      <c r="F205" s="6" t="s">
        <v>21</v>
      </c>
      <c r="G205" s="12" t="s">
        <v>654</v>
      </c>
      <c r="H205" s="21" t="s">
        <v>655</v>
      </c>
      <c r="I205" s="14" t="s">
        <v>656</v>
      </c>
      <c r="J205" s="13">
        <v>45797</v>
      </c>
      <c r="K205" s="13">
        <v>46162</v>
      </c>
      <c r="L205" s="48" t="str">
        <f t="shared" ca="1" si="9"/>
        <v>PENDENTE</v>
      </c>
      <c r="M205" s="5" t="s">
        <v>657</v>
      </c>
      <c r="N205" s="14" t="s">
        <v>658</v>
      </c>
      <c r="O205" s="17"/>
      <c r="P205" s="5" t="s">
        <v>26</v>
      </c>
      <c r="Q205" s="5"/>
    </row>
    <row r="206" spans="2:17" ht="80.099999999999994" customHeight="1" x14ac:dyDescent="0.3">
      <c r="B206" s="48">
        <v>199</v>
      </c>
      <c r="C206" s="5" t="s">
        <v>20</v>
      </c>
      <c r="D206" s="2" t="s">
        <v>509</v>
      </c>
      <c r="E206" s="16" t="s">
        <v>659</v>
      </c>
      <c r="F206" s="6" t="s">
        <v>21</v>
      </c>
      <c r="G206" s="12" t="s">
        <v>660</v>
      </c>
      <c r="H206" s="21" t="s">
        <v>661</v>
      </c>
      <c r="I206" s="14" t="s">
        <v>662</v>
      </c>
      <c r="J206" s="13">
        <v>45867</v>
      </c>
      <c r="K206" s="13">
        <v>46232</v>
      </c>
      <c r="L206" s="48" t="str">
        <f t="shared" ca="1" si="9"/>
        <v>OK</v>
      </c>
      <c r="M206" s="5">
        <v>202506651</v>
      </c>
      <c r="N206" s="14" t="s">
        <v>31</v>
      </c>
      <c r="O206" s="17"/>
      <c r="P206" s="5" t="s">
        <v>347</v>
      </c>
      <c r="Q206" s="5"/>
    </row>
    <row r="207" spans="2:17" ht="80.099999999999994" customHeight="1" x14ac:dyDescent="0.3">
      <c r="B207" s="48">
        <v>200</v>
      </c>
      <c r="C207" s="5" t="s">
        <v>20</v>
      </c>
      <c r="D207" s="2" t="s">
        <v>530</v>
      </c>
      <c r="E207" s="16" t="s">
        <v>663</v>
      </c>
      <c r="F207" s="6" t="s">
        <v>21</v>
      </c>
      <c r="G207" s="12" t="s">
        <v>22</v>
      </c>
      <c r="H207" s="21" t="s">
        <v>23</v>
      </c>
      <c r="I207" s="14" t="s">
        <v>24</v>
      </c>
      <c r="J207" s="13">
        <v>46009</v>
      </c>
      <c r="K207" s="13">
        <v>46374</v>
      </c>
      <c r="L207" s="48" t="str">
        <f t="shared" ca="1" si="9"/>
        <v>OK</v>
      </c>
      <c r="M207" s="5">
        <v>254</v>
      </c>
      <c r="N207" s="14" t="s">
        <v>664</v>
      </c>
      <c r="O207" s="17"/>
      <c r="P207" s="5" t="s">
        <v>347</v>
      </c>
      <c r="Q207" s="5"/>
    </row>
    <row r="208" spans="2:17" ht="80.099999999999994" customHeight="1" x14ac:dyDescent="0.3">
      <c r="B208" s="48">
        <v>201</v>
      </c>
      <c r="C208" s="5" t="s">
        <v>20</v>
      </c>
      <c r="D208" s="2" t="s">
        <v>509</v>
      </c>
      <c r="E208" s="16" t="s">
        <v>665</v>
      </c>
      <c r="F208" s="6" t="s">
        <v>21</v>
      </c>
      <c r="G208" s="12" t="s">
        <v>666</v>
      </c>
      <c r="H208" s="21" t="s">
        <v>47</v>
      </c>
      <c r="I208" s="14" t="s">
        <v>48</v>
      </c>
      <c r="J208" s="13">
        <v>46048</v>
      </c>
      <c r="K208" s="13">
        <v>46413</v>
      </c>
      <c r="L208" s="48" t="s">
        <v>667</v>
      </c>
      <c r="M208" s="5">
        <v>18327</v>
      </c>
      <c r="N208" s="14" t="s">
        <v>49</v>
      </c>
      <c r="O208" s="17"/>
      <c r="P208" s="5" t="s">
        <v>347</v>
      </c>
      <c r="Q208" s="5"/>
    </row>
    <row r="209" spans="2:17" ht="80.099999999999994" customHeight="1" x14ac:dyDescent="0.3">
      <c r="B209" s="48">
        <v>202</v>
      </c>
      <c r="C209" s="5" t="s">
        <v>20</v>
      </c>
      <c r="D209" s="2" t="s">
        <v>509</v>
      </c>
      <c r="E209" s="16" t="s">
        <v>668</v>
      </c>
      <c r="F209" s="6" t="s">
        <v>21</v>
      </c>
      <c r="G209" s="12" t="s">
        <v>666</v>
      </c>
      <c r="H209" s="21" t="s">
        <v>47</v>
      </c>
      <c r="I209" s="14" t="s">
        <v>48</v>
      </c>
      <c r="J209" s="13">
        <v>46048</v>
      </c>
      <c r="K209" s="13">
        <v>46413</v>
      </c>
      <c r="L209" s="48" t="s">
        <v>667</v>
      </c>
      <c r="M209" s="5">
        <v>18328</v>
      </c>
      <c r="N209" s="14" t="s">
        <v>49</v>
      </c>
      <c r="O209" s="17"/>
      <c r="P209" s="5" t="s">
        <v>347</v>
      </c>
      <c r="Q209" s="5"/>
    </row>
    <row r="210" spans="2:17" ht="80.099999999999994" customHeight="1" x14ac:dyDescent="0.3">
      <c r="B210" s="48">
        <v>203</v>
      </c>
      <c r="C210" s="5" t="s">
        <v>20</v>
      </c>
      <c r="D210" s="2" t="s">
        <v>509</v>
      </c>
      <c r="E210" s="16" t="s">
        <v>669</v>
      </c>
      <c r="F210" s="6" t="s">
        <v>21</v>
      </c>
      <c r="G210" s="12" t="s">
        <v>666</v>
      </c>
      <c r="H210" s="21" t="s">
        <v>47</v>
      </c>
      <c r="I210" s="14" t="s">
        <v>48</v>
      </c>
      <c r="J210" s="13">
        <v>46048</v>
      </c>
      <c r="K210" s="13">
        <v>46413</v>
      </c>
      <c r="L210" s="48" t="s">
        <v>667</v>
      </c>
      <c r="M210" s="5">
        <v>18325</v>
      </c>
      <c r="N210" s="14" t="s">
        <v>49</v>
      </c>
      <c r="O210" s="17"/>
      <c r="P210" s="5" t="s">
        <v>347</v>
      </c>
      <c r="Q210" s="5"/>
    </row>
    <row r="211" spans="2:17" ht="80.099999999999994" customHeight="1" x14ac:dyDescent="0.3">
      <c r="B211" s="48">
        <v>204</v>
      </c>
      <c r="C211" s="5" t="s">
        <v>20</v>
      </c>
      <c r="D211" s="2" t="s">
        <v>509</v>
      </c>
      <c r="E211" s="16" t="s">
        <v>670</v>
      </c>
      <c r="F211" s="6" t="s">
        <v>21</v>
      </c>
      <c r="G211" s="12" t="s">
        <v>666</v>
      </c>
      <c r="H211" s="21" t="s">
        <v>47</v>
      </c>
      <c r="I211" s="14" t="s">
        <v>48</v>
      </c>
      <c r="J211" s="13">
        <v>46048</v>
      </c>
      <c r="K211" s="13">
        <v>46413</v>
      </c>
      <c r="L211" s="48" t="s">
        <v>667</v>
      </c>
      <c r="M211" s="5">
        <v>18326</v>
      </c>
      <c r="N211" s="14" t="s">
        <v>49</v>
      </c>
      <c r="O211" s="17"/>
      <c r="P211" s="5" t="s">
        <v>347</v>
      </c>
      <c r="Q211" s="5"/>
    </row>
    <row r="212" spans="2:17" ht="80.099999999999994" customHeight="1" x14ac:dyDescent="0.3">
      <c r="B212" s="48">
        <v>205</v>
      </c>
      <c r="C212" s="5" t="s">
        <v>473</v>
      </c>
      <c r="D212" s="2" t="s">
        <v>341</v>
      </c>
      <c r="E212" s="16" t="s">
        <v>671</v>
      </c>
      <c r="F212" s="6" t="s">
        <v>21</v>
      </c>
      <c r="G212" s="12" t="s">
        <v>73</v>
      </c>
      <c r="H212" s="21" t="s">
        <v>366</v>
      </c>
      <c r="I212" s="14" t="s">
        <v>672</v>
      </c>
      <c r="J212" s="13">
        <v>45932</v>
      </c>
      <c r="K212" s="13">
        <v>46297</v>
      </c>
      <c r="L212" s="48" t="s">
        <v>667</v>
      </c>
      <c r="M212" s="5">
        <v>10888</v>
      </c>
      <c r="N212" s="14" t="s">
        <v>673</v>
      </c>
      <c r="O212" s="17"/>
      <c r="P212" s="5" t="s">
        <v>26</v>
      </c>
      <c r="Q212" s="5"/>
    </row>
    <row r="213" spans="2:17" ht="80.099999999999994" customHeight="1" x14ac:dyDescent="0.3">
      <c r="B213" s="48">
        <v>206</v>
      </c>
      <c r="C213" s="5" t="s">
        <v>473</v>
      </c>
      <c r="D213" s="2" t="s">
        <v>341</v>
      </c>
      <c r="E213" s="16" t="s">
        <v>674</v>
      </c>
      <c r="F213" s="6" t="s">
        <v>21</v>
      </c>
      <c r="G213" s="12" t="s">
        <v>675</v>
      </c>
      <c r="H213" s="21" t="s">
        <v>676</v>
      </c>
      <c r="I213" s="14" t="s">
        <v>350</v>
      </c>
      <c r="J213" s="13">
        <v>45352</v>
      </c>
      <c r="K213" s="13">
        <v>46447</v>
      </c>
      <c r="L213" s="48" t="s">
        <v>667</v>
      </c>
      <c r="M213" s="5" t="s">
        <v>677</v>
      </c>
      <c r="N213" s="14" t="s">
        <v>128</v>
      </c>
      <c r="O213" s="17"/>
      <c r="P213" s="5" t="s">
        <v>26</v>
      </c>
      <c r="Q213" s="5"/>
    </row>
    <row r="214" spans="2:17" ht="80.099999999999994" customHeight="1" x14ac:dyDescent="0.3">
      <c r="B214" s="48">
        <v>207</v>
      </c>
      <c r="C214" s="5" t="s">
        <v>473</v>
      </c>
      <c r="D214" s="2" t="s">
        <v>341</v>
      </c>
      <c r="E214" s="16" t="s">
        <v>678</v>
      </c>
      <c r="F214" s="6" t="s">
        <v>21</v>
      </c>
      <c r="G214" s="12" t="s">
        <v>675</v>
      </c>
      <c r="H214" s="21" t="s">
        <v>676</v>
      </c>
      <c r="I214" s="14" t="s">
        <v>350</v>
      </c>
      <c r="J214" s="13">
        <v>45709</v>
      </c>
      <c r="K214" s="13">
        <v>46804</v>
      </c>
      <c r="L214" s="48" t="s">
        <v>667</v>
      </c>
      <c r="M214" s="5" t="s">
        <v>679</v>
      </c>
      <c r="N214" s="14" t="s">
        <v>128</v>
      </c>
      <c r="O214" s="17"/>
      <c r="P214" s="5" t="s">
        <v>26</v>
      </c>
      <c r="Q214" s="5"/>
    </row>
    <row r="215" spans="2:17" ht="80.099999999999994" customHeight="1" x14ac:dyDescent="0.3">
      <c r="B215" s="48">
        <v>208</v>
      </c>
      <c r="C215" s="5" t="s">
        <v>473</v>
      </c>
      <c r="D215" s="2" t="s">
        <v>341</v>
      </c>
      <c r="E215" s="16" t="s">
        <v>680</v>
      </c>
      <c r="F215" s="6" t="s">
        <v>21</v>
      </c>
      <c r="G215" s="12" t="s">
        <v>73</v>
      </c>
      <c r="H215" s="21" t="s">
        <v>681</v>
      </c>
      <c r="I215" s="14" t="s">
        <v>682</v>
      </c>
      <c r="J215" s="13">
        <v>45727</v>
      </c>
      <c r="K215" s="13">
        <v>46092</v>
      </c>
      <c r="L215" s="48" t="s">
        <v>667</v>
      </c>
      <c r="M215" s="5">
        <v>1282730</v>
      </c>
      <c r="N215" s="14" t="s">
        <v>683</v>
      </c>
      <c r="O215" s="17"/>
      <c r="P215" s="5" t="s">
        <v>26</v>
      </c>
      <c r="Q215" s="5"/>
    </row>
    <row r="216" spans="2:17" ht="80.099999999999994" customHeight="1" x14ac:dyDescent="0.3">
      <c r="B216" s="48">
        <v>209</v>
      </c>
      <c r="C216" s="5" t="s">
        <v>473</v>
      </c>
      <c r="D216" s="2" t="s">
        <v>341</v>
      </c>
      <c r="E216" s="16" t="s">
        <v>692</v>
      </c>
      <c r="F216" s="6" t="s">
        <v>21</v>
      </c>
      <c r="G216" s="12" t="s">
        <v>155</v>
      </c>
      <c r="H216" s="21" t="s">
        <v>243</v>
      </c>
      <c r="I216" s="14" t="s">
        <v>462</v>
      </c>
      <c r="J216" s="13">
        <v>45946</v>
      </c>
      <c r="K216" s="13">
        <v>46311</v>
      </c>
      <c r="L216" s="48" t="s">
        <v>667</v>
      </c>
      <c r="M216" s="5" t="s">
        <v>693</v>
      </c>
      <c r="N216" s="14" t="s">
        <v>128</v>
      </c>
      <c r="O216" s="17"/>
      <c r="P216" s="5" t="s">
        <v>347</v>
      </c>
      <c r="Q216" s="5"/>
    </row>
    <row r="217" spans="2:17" ht="80.099999999999994" customHeight="1" x14ac:dyDescent="0.3">
      <c r="B217" s="48">
        <v>210</v>
      </c>
      <c r="C217" s="5" t="s">
        <v>473</v>
      </c>
      <c r="D217" s="2" t="s">
        <v>341</v>
      </c>
      <c r="E217" s="16" t="s">
        <v>694</v>
      </c>
      <c r="F217" s="6" t="s">
        <v>21</v>
      </c>
      <c r="G217" s="12" t="s">
        <v>155</v>
      </c>
      <c r="H217" s="21" t="s">
        <v>243</v>
      </c>
      <c r="I217" s="14" t="s">
        <v>462</v>
      </c>
      <c r="J217" s="13">
        <v>45946</v>
      </c>
      <c r="K217" s="13">
        <v>46311</v>
      </c>
      <c r="L217" s="48" t="s">
        <v>667</v>
      </c>
      <c r="M217" s="5" t="s">
        <v>695</v>
      </c>
      <c r="N217" s="14" t="s">
        <v>128</v>
      </c>
      <c r="O217" s="17"/>
      <c r="P217" s="5" t="s">
        <v>347</v>
      </c>
      <c r="Q217" s="5"/>
    </row>
    <row r="218" spans="2:17" ht="80.099999999999994" customHeight="1" x14ac:dyDescent="0.3">
      <c r="B218" s="48">
        <v>211</v>
      </c>
      <c r="C218" s="5" t="s">
        <v>473</v>
      </c>
      <c r="D218" s="2" t="s">
        <v>341</v>
      </c>
      <c r="E218" s="16" t="s">
        <v>696</v>
      </c>
      <c r="F218" s="6" t="s">
        <v>21</v>
      </c>
      <c r="G218" s="12" t="s">
        <v>155</v>
      </c>
      <c r="H218" s="21" t="s">
        <v>243</v>
      </c>
      <c r="I218" s="14" t="s">
        <v>462</v>
      </c>
      <c r="J218" s="13">
        <v>45946</v>
      </c>
      <c r="K218" s="13">
        <v>46311</v>
      </c>
      <c r="L218" s="48" t="s">
        <v>667</v>
      </c>
      <c r="M218" s="5" t="s">
        <v>697</v>
      </c>
      <c r="N218" s="14" t="s">
        <v>128</v>
      </c>
      <c r="O218" s="17"/>
      <c r="P218" s="5" t="s">
        <v>347</v>
      </c>
      <c r="Q218" s="5"/>
    </row>
    <row r="219" spans="2:17" ht="80.099999999999994" customHeight="1" x14ac:dyDescent="0.3">
      <c r="B219" s="48">
        <v>212</v>
      </c>
      <c r="C219" s="5" t="s">
        <v>473</v>
      </c>
      <c r="D219" s="2" t="s">
        <v>341</v>
      </c>
      <c r="E219" s="16" t="s">
        <v>698</v>
      </c>
      <c r="F219" s="6" t="s">
        <v>21</v>
      </c>
      <c r="G219" s="12" t="s">
        <v>155</v>
      </c>
      <c r="H219" s="21" t="s">
        <v>243</v>
      </c>
      <c r="I219" s="14" t="s">
        <v>462</v>
      </c>
      <c r="J219" s="13">
        <v>45946</v>
      </c>
      <c r="K219" s="13">
        <v>46311</v>
      </c>
      <c r="L219" s="48" t="s">
        <v>667</v>
      </c>
      <c r="M219" s="5" t="s">
        <v>699</v>
      </c>
      <c r="N219" s="14" t="s">
        <v>128</v>
      </c>
      <c r="O219" s="17"/>
      <c r="P219" s="5" t="s">
        <v>347</v>
      </c>
      <c r="Q219" s="5"/>
    </row>
    <row r="220" spans="2:17" ht="80.099999999999994" customHeight="1" x14ac:dyDescent="0.3">
      <c r="B220" s="48">
        <v>213</v>
      </c>
      <c r="C220" s="5" t="s">
        <v>473</v>
      </c>
      <c r="D220" s="2" t="s">
        <v>341</v>
      </c>
      <c r="E220" s="16" t="s">
        <v>700</v>
      </c>
      <c r="F220" s="6" t="s">
        <v>21</v>
      </c>
      <c r="G220" s="12" t="s">
        <v>155</v>
      </c>
      <c r="H220" s="21" t="s">
        <v>243</v>
      </c>
      <c r="I220" s="14" t="s">
        <v>462</v>
      </c>
      <c r="J220" s="13">
        <v>45946</v>
      </c>
      <c r="K220" s="13">
        <v>46311</v>
      </c>
      <c r="L220" s="48" t="s">
        <v>667</v>
      </c>
      <c r="M220" s="5" t="s">
        <v>701</v>
      </c>
      <c r="N220" s="14" t="s">
        <v>128</v>
      </c>
      <c r="O220" s="17"/>
      <c r="P220" s="5" t="s">
        <v>347</v>
      </c>
      <c r="Q220" s="5"/>
    </row>
    <row r="221" spans="2:17" ht="80.099999999999994" customHeight="1" x14ac:dyDescent="0.3">
      <c r="B221" s="48">
        <v>214</v>
      </c>
      <c r="C221" s="5" t="s">
        <v>473</v>
      </c>
      <c r="D221" s="2" t="s">
        <v>341</v>
      </c>
      <c r="E221" s="16" t="s">
        <v>702</v>
      </c>
      <c r="F221" s="6" t="s">
        <v>21</v>
      </c>
      <c r="G221" s="12" t="s">
        <v>155</v>
      </c>
      <c r="H221" s="21" t="s">
        <v>243</v>
      </c>
      <c r="I221" s="14" t="s">
        <v>462</v>
      </c>
      <c r="J221" s="13">
        <v>45946</v>
      </c>
      <c r="K221" s="13">
        <v>46311</v>
      </c>
      <c r="L221" s="48" t="s">
        <v>667</v>
      </c>
      <c r="M221" s="5" t="s">
        <v>703</v>
      </c>
      <c r="N221" s="14" t="s">
        <v>128</v>
      </c>
      <c r="O221" s="17"/>
      <c r="P221" s="5" t="s">
        <v>347</v>
      </c>
      <c r="Q221" s="5"/>
    </row>
    <row r="222" spans="2:17" ht="80.099999999999994" customHeight="1" x14ac:dyDescent="0.3">
      <c r="B222" s="48">
        <v>215</v>
      </c>
      <c r="C222" s="5" t="s">
        <v>473</v>
      </c>
      <c r="D222" s="2" t="s">
        <v>341</v>
      </c>
      <c r="E222" s="16" t="s">
        <v>704</v>
      </c>
      <c r="F222" s="6" t="s">
        <v>21</v>
      </c>
      <c r="G222" s="12" t="s">
        <v>155</v>
      </c>
      <c r="H222" s="21" t="s">
        <v>243</v>
      </c>
      <c r="I222" s="14" t="s">
        <v>462</v>
      </c>
      <c r="J222" s="13">
        <v>45947</v>
      </c>
      <c r="K222" s="13">
        <v>46312</v>
      </c>
      <c r="L222" s="48" t="s">
        <v>667</v>
      </c>
      <c r="M222" s="5" t="s">
        <v>705</v>
      </c>
      <c r="N222" s="14" t="s">
        <v>128</v>
      </c>
      <c r="O222" s="17"/>
      <c r="P222" s="5" t="s">
        <v>347</v>
      </c>
      <c r="Q222" s="5"/>
    </row>
    <row r="223" spans="2:17" ht="80.099999999999994" customHeight="1" x14ac:dyDescent="0.3">
      <c r="B223" s="48">
        <v>216</v>
      </c>
      <c r="C223" s="5" t="s">
        <v>473</v>
      </c>
      <c r="D223" s="2" t="s">
        <v>341</v>
      </c>
      <c r="E223" s="16" t="s">
        <v>706</v>
      </c>
      <c r="F223" s="6" t="s">
        <v>21</v>
      </c>
      <c r="G223" s="12" t="s">
        <v>155</v>
      </c>
      <c r="H223" s="21" t="s">
        <v>243</v>
      </c>
      <c r="I223" s="14" t="s">
        <v>462</v>
      </c>
      <c r="J223" s="13">
        <v>45947</v>
      </c>
      <c r="K223" s="13">
        <v>46312</v>
      </c>
      <c r="L223" s="48" t="s">
        <v>667</v>
      </c>
      <c r="M223" s="5" t="s">
        <v>707</v>
      </c>
      <c r="N223" s="14" t="s">
        <v>128</v>
      </c>
      <c r="O223" s="17"/>
      <c r="P223" s="5" t="s">
        <v>347</v>
      </c>
      <c r="Q223" s="5"/>
    </row>
    <row r="224" spans="2:17" ht="80.099999999999994" customHeight="1" x14ac:dyDescent="0.3">
      <c r="B224" s="48">
        <v>217</v>
      </c>
      <c r="C224" s="5" t="s">
        <v>473</v>
      </c>
      <c r="D224" s="2" t="s">
        <v>341</v>
      </c>
      <c r="E224" s="16" t="s">
        <v>708</v>
      </c>
      <c r="F224" s="6" t="s">
        <v>21</v>
      </c>
      <c r="G224" s="12" t="s">
        <v>155</v>
      </c>
      <c r="H224" s="21" t="s">
        <v>243</v>
      </c>
      <c r="I224" s="14" t="s">
        <v>462</v>
      </c>
      <c r="J224" s="13">
        <v>45947</v>
      </c>
      <c r="K224" s="13">
        <v>46312</v>
      </c>
      <c r="L224" s="48" t="s">
        <v>667</v>
      </c>
      <c r="M224" s="5" t="s">
        <v>709</v>
      </c>
      <c r="N224" s="14" t="s">
        <v>128</v>
      </c>
      <c r="O224" s="17"/>
      <c r="P224" s="5" t="s">
        <v>347</v>
      </c>
      <c r="Q224" s="5"/>
    </row>
    <row r="225" spans="2:17" ht="80.099999999999994" customHeight="1" x14ac:dyDescent="0.3">
      <c r="B225" s="48">
        <v>218</v>
      </c>
      <c r="C225" s="5" t="s">
        <v>473</v>
      </c>
      <c r="D225" s="2" t="s">
        <v>341</v>
      </c>
      <c r="E225" s="16" t="s">
        <v>710</v>
      </c>
      <c r="F225" s="6" t="s">
        <v>21</v>
      </c>
      <c r="G225" s="12" t="s">
        <v>711</v>
      </c>
      <c r="H225" s="21" t="s">
        <v>243</v>
      </c>
      <c r="I225" s="14" t="s">
        <v>712</v>
      </c>
      <c r="J225" s="13">
        <v>46030</v>
      </c>
      <c r="K225" s="13">
        <v>46395</v>
      </c>
      <c r="L225" s="48" t="s">
        <v>667</v>
      </c>
      <c r="M225" s="5" t="s">
        <v>713</v>
      </c>
      <c r="N225" s="14" t="s">
        <v>128</v>
      </c>
      <c r="O225" s="17"/>
      <c r="P225" s="5" t="s">
        <v>347</v>
      </c>
      <c r="Q225" s="5"/>
    </row>
    <row r="226" spans="2:17" ht="80.099999999999994" customHeight="1" x14ac:dyDescent="0.3">
      <c r="B226" s="48">
        <v>219</v>
      </c>
      <c r="C226" s="5" t="s">
        <v>473</v>
      </c>
      <c r="D226" s="2" t="s">
        <v>341</v>
      </c>
      <c r="E226" s="16" t="s">
        <v>714</v>
      </c>
      <c r="F226" s="6" t="s">
        <v>21</v>
      </c>
      <c r="G226" s="12" t="s">
        <v>711</v>
      </c>
      <c r="H226" s="21" t="s">
        <v>243</v>
      </c>
      <c r="I226" s="14" t="s">
        <v>712</v>
      </c>
      <c r="J226" s="13">
        <v>46030</v>
      </c>
      <c r="K226" s="13">
        <v>46395</v>
      </c>
      <c r="L226" s="48" t="s">
        <v>667</v>
      </c>
      <c r="M226" s="5" t="s">
        <v>715</v>
      </c>
      <c r="N226" s="14" t="s">
        <v>128</v>
      </c>
      <c r="O226" s="17"/>
      <c r="P226" s="5" t="s">
        <v>347</v>
      </c>
      <c r="Q226" s="5"/>
    </row>
    <row r="227" spans="2:17" ht="80.099999999999994" customHeight="1" x14ac:dyDescent="0.3">
      <c r="B227" s="48">
        <v>220</v>
      </c>
      <c r="C227" s="5"/>
      <c r="D227" s="2"/>
      <c r="E227" s="16"/>
      <c r="F227" s="6"/>
      <c r="G227" s="12"/>
      <c r="H227" s="21"/>
      <c r="I227" s="14"/>
      <c r="J227" s="13"/>
      <c r="K227" s="13"/>
      <c r="L227" s="48"/>
      <c r="M227" s="5"/>
      <c r="N227" s="14"/>
      <c r="O227" s="17"/>
      <c r="P227" s="5"/>
      <c r="Q227" s="5"/>
    </row>
    <row r="228" spans="2:17" ht="80.099999999999994" customHeight="1" x14ac:dyDescent="0.3">
      <c r="B228" s="48">
        <v>221</v>
      </c>
      <c r="C228" s="5"/>
      <c r="D228" s="2"/>
      <c r="E228" s="16"/>
      <c r="F228" s="6"/>
      <c r="G228" s="12"/>
      <c r="H228" s="21"/>
      <c r="I228" s="14"/>
      <c r="J228" s="13"/>
      <c r="K228" s="13"/>
      <c r="L228" s="48"/>
      <c r="M228" s="5"/>
      <c r="N228" s="14"/>
      <c r="O228" s="17"/>
      <c r="P228" s="5"/>
      <c r="Q228" s="5"/>
    </row>
    <row r="229" spans="2:17" ht="80.099999999999994" customHeight="1" x14ac:dyDescent="0.3">
      <c r="B229" s="48">
        <v>222</v>
      </c>
      <c r="C229" s="5"/>
      <c r="D229" s="2"/>
      <c r="E229" s="16"/>
      <c r="F229" s="6"/>
      <c r="G229" s="12"/>
      <c r="H229" s="21"/>
      <c r="I229" s="14"/>
      <c r="J229" s="13"/>
      <c r="K229" s="13"/>
      <c r="L229" s="48"/>
      <c r="M229" s="5"/>
      <c r="N229" s="14"/>
      <c r="O229" s="17"/>
      <c r="P229" s="5"/>
      <c r="Q229" s="5"/>
    </row>
  </sheetData>
  <autoFilter ref="B7:Q229" xr:uid="{BD19DB91-F159-42C2-BCBA-D86A99E22E7C}"/>
  <mergeCells count="6">
    <mergeCell ref="B2:C5"/>
    <mergeCell ref="D2:M5"/>
    <mergeCell ref="N2:O3"/>
    <mergeCell ref="N4:O5"/>
    <mergeCell ref="P2:Q3"/>
    <mergeCell ref="P4:Q5"/>
  </mergeCells>
  <phoneticPr fontId="1" type="noConversion"/>
  <conditionalFormatting sqref="L8:L229">
    <cfRule type="cellIs" dxfId="1" priority="1" operator="equal">
      <formula>"OK"</formula>
    </cfRule>
    <cfRule type="cellIs" dxfId="0" priority="2" operator="equal">
      <formula>"PENDENTE"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landscape" r:id="rId1"/>
  <headerFooter alignWithMargins="0">
    <oddHeader xml:space="preserve">&amp;R
&amp;P de &amp;N                                                                           </oddHeader>
  </headerFooter>
  <rowBreaks count="3" manualBreakCount="3">
    <brk id="149" min="1" max="16" man="1"/>
    <brk id="185" min="1" max="16" man="1"/>
    <brk id="195" min="1" max="16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BFE459CD4AC1478EB384CABE7B6C1D" ma:contentTypeVersion="10" ma:contentTypeDescription="Create a new document." ma:contentTypeScope="" ma:versionID="33f26ef0d931ec3755b883110ef36431">
  <xsd:schema xmlns:xsd="http://www.w3.org/2001/XMLSchema" xmlns:xs="http://www.w3.org/2001/XMLSchema" xmlns:p="http://schemas.microsoft.com/office/2006/metadata/properties" xmlns:ns2="923ffc15-8dad-45e0-ae35-cd91a300dcb5" targetNamespace="http://schemas.microsoft.com/office/2006/metadata/properties" ma:root="true" ma:fieldsID="5d3beff2c8f4b6522ad1e7d9c4008138" ns2:_="">
    <xsd:import namespace="923ffc15-8dad-45e0-ae35-cd91a300dc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3ffc15-8dad-45e0-ae35-cd91a300dc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51C813-016D-46A5-B6E9-E5E5487C6C31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923ffc15-8dad-45e0-ae35-cd91a300dcb5"/>
  </ds:schemaRefs>
</ds:datastoreItem>
</file>

<file path=customXml/itemProps2.xml><?xml version="1.0" encoding="utf-8"?>
<ds:datastoreItem xmlns:ds="http://schemas.openxmlformats.org/officeDocument/2006/customXml" ds:itemID="{2158039F-8FA5-42D7-9702-A25F477476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5612A6-9BDE-473B-8D4D-105CC7293C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3ffc15-8dad-45e0-ae35-cd91a300dc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F. Rosto</vt:lpstr>
      <vt:lpstr>25SNVI.100.001</vt:lpstr>
      <vt:lpstr>'25SNVI.100.001'!Area_de_impressao</vt:lpstr>
      <vt:lpstr>'F. Rosto'!Area_de_impressao</vt:lpstr>
      <vt:lpstr>'25SNVI.100.001'!Titulos_de_impressao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</dc:creator>
  <cp:lastModifiedBy>Raphaela Nascimento</cp:lastModifiedBy>
  <cp:lastPrinted>2025-10-23T16:50:29Z</cp:lastPrinted>
  <dcterms:created xsi:type="dcterms:W3CDTF">2020-02-04T11:53:57Z</dcterms:created>
  <dcterms:modified xsi:type="dcterms:W3CDTF">2026-06-24T16:04:15Z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0x0101009DBFE459CD4AC1478EB384CABE7B6C1D</vt:lpwstr>
  </property>
</Properties>
</file>